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bookViews>
    <workbookView xWindow="0" yWindow="0" windowWidth="20490" windowHeight="6945" activeTab="1"/>
  </bookViews>
  <sheets>
    <sheet name="Messy Data" sheetId="1" r:id="rId1"/>
    <sheet name="Cleaned Data" sheetId="2" r:id="rId2"/>
    <sheet name="Cleaning Steps" sheetId="3" r:id="rId3"/>
  </sheets>
  <calcPr calcId="152511"/>
</workbook>
</file>

<file path=xl/calcChain.xml><?xml version="1.0" encoding="utf-8"?>
<calcChain xmlns="http://schemas.openxmlformats.org/spreadsheetml/2006/main">
  <c r="K96" i="2" l="1"/>
  <c r="K97" i="2" s="1"/>
  <c r="K98" i="2" s="1"/>
  <c r="K82" i="2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74" i="2"/>
  <c r="K75" i="2" s="1"/>
  <c r="K76" i="2" s="1"/>
  <c r="K77" i="2" s="1"/>
  <c r="K78" i="2" s="1"/>
  <c r="K79" i="2" s="1"/>
  <c r="K80" i="2" s="1"/>
  <c r="K63" i="2"/>
  <c r="K64" i="2" s="1"/>
  <c r="K65" i="2" s="1"/>
  <c r="K66" i="2" s="1"/>
  <c r="K67" i="2" s="1"/>
  <c r="K68" i="2" s="1"/>
  <c r="K69" i="2" s="1"/>
  <c r="K70" i="2" s="1"/>
  <c r="K71" i="2" s="1"/>
  <c r="K72" i="2" s="1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48" i="2"/>
  <c r="K37" i="2"/>
  <c r="K38" i="2" s="1"/>
  <c r="K39" i="2" s="1"/>
  <c r="K40" i="2" s="1"/>
  <c r="K41" i="2" s="1"/>
  <c r="K42" i="2" s="1"/>
  <c r="K43" i="2" s="1"/>
  <c r="K44" i="2" s="1"/>
  <c r="K45" i="2" s="1"/>
  <c r="K46" i="2" s="1"/>
  <c r="K20" i="2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12" i="2"/>
  <c r="K13" i="2" s="1"/>
  <c r="K14" i="2" s="1"/>
  <c r="K15" i="2" s="1"/>
  <c r="K16" i="2" s="1"/>
  <c r="K17" i="2" s="1"/>
  <c r="K18" i="2" s="1"/>
  <c r="K3" i="2"/>
  <c r="K4" i="2" s="1"/>
  <c r="K5" i="2" s="1"/>
  <c r="K6" i="2" s="1"/>
  <c r="K7" i="2" s="1"/>
  <c r="K8" i="2" s="1"/>
  <c r="K9" i="2" s="1"/>
  <c r="K10" i="2" s="1"/>
</calcChain>
</file>

<file path=xl/sharedStrings.xml><?xml version="1.0" encoding="utf-8"?>
<sst xmlns="http://schemas.openxmlformats.org/spreadsheetml/2006/main" count="925" uniqueCount="561">
  <si>
    <t>IMBD title ID;Original titlÊ;Release year;Genrë¨;Duration;Country;Content Rating;Director;;Income; Votes ;Score</t>
  </si>
  <si>
    <t>tt0111161;The Shawshank Redemption;1995-02-10;Drama;142;USA;R;Frank Darabont;;$ 28815245;2.278.845;9.3</t>
  </si>
  <si>
    <t>tt0068646;The Godfather;09 21 1972;Crime</t>
  </si>
  <si>
    <t xml:space="preserve"> Drama;175;USA;R;Francis Ford Coppola;;$ 246120974;1.572.674;9.2</t>
  </si>
  <si>
    <t>tt0468569;The Dark Knight; 23 -07-2008;Action</t>
  </si>
  <si>
    <t xml:space="preserve"> Crime</t>
  </si>
  <si>
    <t xml:space="preserve"> Drama;152;US;PG-13;Christopher Nolan;;$ 1005455211;2.241.615;9.</t>
  </si>
  <si>
    <t>tt0071562;The Godfather: Part II;1975-09-25;Crime</t>
  </si>
  <si>
    <t xml:space="preserve"> Drama;220;USA;R;Francis Ford Coppola;;$ 4o8</t>
  </si>
  <si>
    <t>783;1.098.714;9</t>
  </si>
  <si>
    <t>tt0110912;Pulp Fiction;1994-10-28;Crime</t>
  </si>
  <si>
    <t xml:space="preserve"> Drama; ;USA;R;Quentin Tarantino;;$ 222831817;1.780.147;8</t>
  </si>
  <si>
    <t>9f</t>
  </si>
  <si>
    <t>tt0167260;The Lord of the Rings: The Return of the King;22 Feb 04;Action</t>
  </si>
  <si>
    <t xml:space="preserve"> Adventure</t>
  </si>
  <si>
    <t xml:space="preserve"> Drama;201;New Zealand;PG-13;Peter Jackson;;$ 1142271098;1.604.280;08.9</t>
  </si>
  <si>
    <t>tt0108052;Schindler's List;1994-03-11;Biography</t>
  </si>
  <si>
    <t xml:space="preserve"> Drama</t>
  </si>
  <si>
    <t xml:space="preserve"> History;Nan;USA;R;Steven Spielberg;;$ 322287794;1.183.248;8.9</t>
  </si>
  <si>
    <t>tt0050083;12 Angry Men;1957-09-04;Crime</t>
  </si>
  <si>
    <t xml:space="preserve"> Drama;96;USA;Not Rated;Sidney Lumet;;$ 576;668.473;8.9</t>
  </si>
  <si>
    <t>tt1375666;Inception;2010-09-24;Action</t>
  </si>
  <si>
    <t xml:space="preserve"> Sci-Fi;148;USA;PG-13;Christopher Nolan;;$ 869784991;2.002.816;8..8</t>
  </si>
  <si>
    <t>tt0137523;Fight Club;10-29-99;Drama;Inf;UK;R;David Fincher;;$ 101218804;1.807.440;8.8</t>
  </si>
  <si>
    <t>tt0109830;Forrest Gump;1994-10-06;Drama</t>
  </si>
  <si>
    <t xml:space="preserve"> Romance;142;USA;PG-13;Robert Zemeckis;;$ 678229452;1.755.490;8:8</t>
  </si>
  <si>
    <t>tt0120737;The Lord of the Rings: The Fellowship of the Ring;2002-01-18;Action</t>
  </si>
  <si>
    <t xml:space="preserve"> Drama;178c;New Zesland;PG-13;Peter Jackson;;$ 887934303;1.619.920;8.8</t>
  </si>
  <si>
    <t>tt0060196;Il buono</t>
  </si>
  <si>
    <t xml:space="preserve"> il brutto</t>
  </si>
  <si>
    <t xml:space="preserve"> il cattivo;23rd December of 1966 ;Western;161;Italy;Approved;Sergio Leone;;$ 25252481;672.499;8.8</t>
  </si>
  <si>
    <t>;;;;;;;;;;;</t>
  </si>
  <si>
    <t>tt0133093;The Matrix;1999-05-07;Action</t>
  </si>
  <si>
    <t xml:space="preserve"> Sci-Fi;NULL;USA;R;Lana Wachowski</t>
  </si>
  <si>
    <t xml:space="preserve"> Lilly Wachowski;;$ 465718588;1.632.315;++8.7</t>
  </si>
  <si>
    <t>tt0167261;The Lord of the Rings: The Two Towers;01/16-03;Action</t>
  </si>
  <si>
    <t xml:space="preserve"> Drama;179;New Zeland;PG-13;Peter Jackson;;$ 951227416;1.449.778;8.7.</t>
  </si>
  <si>
    <t>tt0080684;Star Wars: Episode V - The Empire Strikes Back;1980-09-19;Action</t>
  </si>
  <si>
    <t xml:space="preserve"> Fantasy;Not Applicable;USA;PG;Irvin Kershner;;$ 549265501;1.132.073;8</t>
  </si>
  <si>
    <t>tt0099685;Goodfellas;1990-09-20;Biography</t>
  </si>
  <si>
    <t xml:space="preserve"> Drama;146;USA;R;Martin Scorsese;;$ 46879633;991.505;8.7</t>
  </si>
  <si>
    <t>tt0073486;One Flew Over the Cuckoo's Nest;18/11/1976;Drama;-;USA;R;Milos Forman;;$ 108997629;891.071;8.7</t>
  </si>
  <si>
    <t>tt0816692;Interstellar;2014-11-06;Adventure</t>
  </si>
  <si>
    <t xml:space="preserve"> Sci-Fi;169;USA;PG-13;Christopher Nolan;;$ 696742056;1.449.256;8.6</t>
  </si>
  <si>
    <t>tt0114369;Se7en;1995-12-15;Crime</t>
  </si>
  <si>
    <t xml:space="preserve"> Mystery;127;USA;R;David Fincher;;$ 327333559;1.402.015;8.6</t>
  </si>
  <si>
    <t>tt0102926;The Silence of the Lambs;1991-03-05;Crime</t>
  </si>
  <si>
    <t xml:space="preserve"> Thriller;118;USA;R;Jonathan Demme;;$ 272753884;1.234.134;8</t>
  </si>
  <si>
    <t>tt0076759;Star Wars;1977-10-20;Action</t>
  </si>
  <si>
    <t xml:space="preserve"> Fantasy;121;USA;PG;George Lucas;;$ 775768912;1.204.107;8.6</t>
  </si>
  <si>
    <t>tt0120815;Saving Private Ryan;1998-10-30;Drama</t>
  </si>
  <si>
    <t xml:space="preserve"> War;169;USA;R;Steven Spielberg;;$ 482349603;1.203.825;8.6</t>
  </si>
  <si>
    <t>tt0120689;The Green Mile;2000-10-03;Crime</t>
  </si>
  <si>
    <t xml:space="preserve"> Fantasy;189;US.;R;Frank Darabont;;$ 286801374;1.112.336;8.6</t>
  </si>
  <si>
    <t>tt0317248;Cidade de Deus;2003-05-09;Crime</t>
  </si>
  <si>
    <t xml:space="preserve"> Drama;130;Brazil;R;Fernando Meirelles</t>
  </si>
  <si>
    <t xml:space="preserve"> KÃ¡tia Lund;;$ 30680793;685.856;8.6</t>
  </si>
  <si>
    <t>tt0245429;Sen to Chihiro no kamikakushi;2003-04-18;Animation</t>
  </si>
  <si>
    <t xml:space="preserve"> Family;125;Japan;PG;Hayao Miyazaki;;$ 355467056;626.693;8.6</t>
  </si>
  <si>
    <t>tt0118799;La vita B9 bella;1997-12-20;Comedy</t>
  </si>
  <si>
    <t xml:space="preserve"> Romance;116;Italy1;#N/A;Roberto Benigni;;$ 230098753;605.648;8.6</t>
  </si>
  <si>
    <t>tt6751668;Gisaengchung;2019-11-07;Comedy</t>
  </si>
  <si>
    <t xml:space="preserve"> Thriller;132;South Korea;#N/A;Bong Joon Ho;;$ 257604912;470.931;8.6</t>
  </si>
  <si>
    <t>tt0038650;It's a Wonderful Life;1948-03-11;Drama</t>
  </si>
  <si>
    <t xml:space="preserve"> Family</t>
  </si>
  <si>
    <t xml:space="preserve"> Fantasy;130;USA;PG;Frank Capra;;$ 6130720;388.310;8.6</t>
  </si>
  <si>
    <t>tt0047478;Shichinin no samurai;1955-08-19;Action</t>
  </si>
  <si>
    <t xml:space="preserve"> Drama;207;Japan;Unrated;Akira Kurosawa;;$ 322773;307.958;8.6</t>
  </si>
  <si>
    <t>tt0172495;Gladiator;2000-05-19;Action</t>
  </si>
  <si>
    <t xml:space="preserve"> Drama;155;USA;R;Ridley Scott;;$ 465361176;1.308.193;8.5</t>
  </si>
  <si>
    <t>tt0407887;The Departed;2006-10-27;Crime</t>
  </si>
  <si>
    <t xml:space="preserve"> Thriller;151;USA;R;Martin Scorsese;;$ 291465034;1.159.703;8.5</t>
  </si>
  <si>
    <t>tt0482571;The Prestige;2006-12-22;Drama</t>
  </si>
  <si>
    <t xml:space="preserve"> Mystery</t>
  </si>
  <si>
    <t xml:space="preserve"> Sci-Fi;130;UK;PG-13;Christopher Nolan;;$ 109676311;1.155.723;8.5</t>
  </si>
  <si>
    <t>tt0088763;Back to the Future;1985-10-18;Adventure</t>
  </si>
  <si>
    <t xml:space="preserve"> Comedy</t>
  </si>
  <si>
    <t xml:space="preserve"> Sci-Fi;116;USA;PG;Robert Zemeckis;;$ 388774684;1.027.330;8.5</t>
  </si>
  <si>
    <t>tt0120586;American History X;1999-08-27;Drama;119;USA;R;Tony Kaye;;$ 23875127;1.014.218;8.5</t>
  </si>
  <si>
    <t>tt0110413;LÃ©on;1995-04-07;Action</t>
  </si>
  <si>
    <t xml:space="preserve"> Drama;110;France;#N/A;Luc Besson;;$ 19552639;1.007.598;8.5</t>
  </si>
  <si>
    <t>tt0103064;Terminator 2: Judgment Day;1991-12-19;Action</t>
  </si>
  <si>
    <t xml:space="preserve"> Sci-Fi;137;USA;R;James Cameron;;$ 520884847;974.970;8.4</t>
  </si>
  <si>
    <t>tt0114814;The Usual Suspects;1995-11-30;Crime</t>
  </si>
  <si>
    <t xml:space="preserve"> Thriller;106;USA;R;Bryan Singer;;$ 23341568;968.947;8.4</t>
  </si>
  <si>
    <t>tt0110357;The Lion King;1994-11-25;Animation</t>
  </si>
  <si>
    <t xml:space="preserve"> Drama;88;USA;G;Roger Allers</t>
  </si>
  <si>
    <t xml:space="preserve"> Rob Minkoff;;$ 968511805;917.248;8.4</t>
  </si>
  <si>
    <t>tt7286456;Joker;2019-10-03;Crime</t>
  </si>
  <si>
    <t xml:space="preserve"> Thriller;122;USA;#N/A;Todd Phillips;;$ 1074251311;855.097;8.4</t>
  </si>
  <si>
    <t>tt1675434;Intouchables;2012-02-24;Biography</t>
  </si>
  <si>
    <t xml:space="preserve"> Drama;112;France;#N/A;Olivier Nakache</t>
  </si>
  <si>
    <t xml:space="preserve"> Ã‰ric Toledano;;$ 426588510;736.691;8.4</t>
  </si>
  <si>
    <t>tt0253474;The Pianist;2002-10-25;Biography</t>
  </si>
  <si>
    <t xml:space="preserve"> Music;150;UK;R;Roman Polanski;;$ 120072577;707.942;8.4</t>
  </si>
  <si>
    <t>tt2582802;Whiplash;2015-02-12;Drama</t>
  </si>
  <si>
    <t xml:space="preserve"> Music;106;USA;R;Damien Chazelle;;$ 48983260;690.732;8.4</t>
  </si>
  <si>
    <t>tt0054215;Psycho;1960-10-28;Horror</t>
  </si>
  <si>
    <t xml:space="preserve"> Thriller;109;USA;R;Alfred Hitchcock;;$ 32008644;586.765;8.3</t>
  </si>
  <si>
    <t>tt0034583;Casablanca;21-11-46;Drama</t>
  </si>
  <si>
    <t xml:space="preserve"> Romance</t>
  </si>
  <si>
    <t xml:space="preserve"> War;102;USA;PG;Michael Curtiz;;$ 4374761;509.953;8.3</t>
  </si>
  <si>
    <t>tt0064116;C'era una volta il West;1968-12-21;Western;165;Italy;PG-13;Sergio Leone;;$ 112911;295.220;8.3</t>
  </si>
  <si>
    <t>tt0095327;Hotaru no haka;2015-10-11;Animation</t>
  </si>
  <si>
    <t xml:space="preserve"> War;89;Japan;#N/A;Isao Takahata;;$ 516962;225.438;8.3</t>
  </si>
  <si>
    <t>tt0095765;Nuovo Cinema Paradiso;1988-11-17;Drama;155;Italy;#N/A;Giuseppe Tornatore;;$ 13826605;223.050;8.3</t>
  </si>
  <si>
    <t>tt0027977;Modern Times;1937-03-12;Comedy</t>
  </si>
  <si>
    <t xml:space="preserve"> Family;87;USA;G;Charles Chaplin;;$ 457688;211.250;8.3</t>
  </si>
  <si>
    <t>tt1345836;The Dark Knight Rises;2012-08-29;Action</t>
  </si>
  <si>
    <t xml:space="preserve"> Adventure;164;UK;PG-13;Christopher Nolan;;$ 1081133191;1.480.582;8.3</t>
  </si>
  <si>
    <t>tt1853728;Django Unchained;2013-01-17;Drama</t>
  </si>
  <si>
    <t xml:space="preserve"> Western;165;USA;R;Quentin Tarantino;;$ 425368238;1.317.856;8.3</t>
  </si>
  <si>
    <t>tt0209144;Memento;2001-01-19;Mystery</t>
  </si>
  <si>
    <t xml:space="preserve"> Thriller;113;USA;R;Christopher Nolan;;$ 39970386;1.098.879;8.2</t>
  </si>
  <si>
    <t>tt0910970;WALLÂ·E;2008-10-17;Animation</t>
  </si>
  <si>
    <t xml:space="preserve"> Family;98;USA;G;Andrew Stanton;;$ 521311860;974.734;8.2</t>
  </si>
  <si>
    <t>tt0081505;The Shining;1980-12-22;Drama</t>
  </si>
  <si>
    <t xml:space="preserve"> Horror;146;UK;R;Stanley Kubrick;;$ 46520613;869.480;8.2</t>
  </si>
  <si>
    <t>tt0082971;Raiders of the Lost Ark;1981-06-12;Action</t>
  </si>
  <si>
    <t xml:space="preserve"> Adventure;115;USA;PG;Steven Spielberg;;$ 390133212;865.510;8.2</t>
  </si>
  <si>
    <t>tt4154756;Avengers: Infinity War;2018-04-25;Action</t>
  </si>
  <si>
    <t xml:space="preserve"> Sci-Fi;149;USA;#N/A;Anthony Russo</t>
  </si>
  <si>
    <t xml:space="preserve"> Joe Russo;;$ 2048359754;796.486;8.2</t>
  </si>
  <si>
    <t>tt0078748;Alien;1979-10-25;Horror</t>
  </si>
  <si>
    <t xml:space="preserve"> Sci-Fi;117;UK;R;Ridley Scott;;$ 108110316;768.874;8.2</t>
  </si>
  <si>
    <t>tt4154796;Avengers: Endgame;2019-04-24;Action</t>
  </si>
  <si>
    <t xml:space="preserve"> Drama;181;USA;#N/A;Anthony Russo</t>
  </si>
  <si>
    <t xml:space="preserve"> Joe Russo;;$ 2797800564;754.786;8.2</t>
  </si>
  <si>
    <t>tt0078788;Apocalypse Now;1979-12-18;Drama</t>
  </si>
  <si>
    <t xml:space="preserve"> War;147;USA;R;Francis Ford Coppola;;$ 91968688;591.251;8.2</t>
  </si>
  <si>
    <t>tt0364569;Oldeuboi;2005-05-06;Action</t>
  </si>
  <si>
    <t xml:space="preserve"> Mystery;120;South Korea;R;Chan-wook Park;;$ 15002116;501.082;8.1</t>
  </si>
  <si>
    <t>tt0057012;Dr. Strangelove or: How I Learned to Stop Worrying and Love the Bomb;1964-04-03;Comedy;95;UK;PG;Stanley Kubrick;;$ 9443876;441.115;8.1</t>
  </si>
  <si>
    <t>tt0047396;Rear Window;1955-04-14;Mystery</t>
  </si>
  <si>
    <t xml:space="preserve"> Thriller;112;USA;#N/A;Alfred Hitchcock;;$ 37032034;432.390;8.1</t>
  </si>
  <si>
    <t>tt2380307;Coco;2017-12-28;Animation</t>
  </si>
  <si>
    <t xml:space="preserve"> Family;105;USA;#N/A;Lee Unkrich</t>
  </si>
  <si>
    <t xml:space="preserve"> Adrian Molina;;$ 807083670;352.455;8.1</t>
  </si>
  <si>
    <t>tt0405094;Das Leben der Anderen;2007-04-06;Drama</t>
  </si>
  <si>
    <t xml:space="preserve"> Thriller;137;Germany;R;Florian Henckel von Donnersmarck;;$ 77356942;349.642;8.1</t>
  </si>
  <si>
    <t>tt4633694;Spider-Man: Into the Spider-Verse;2018-12-25;Animation</t>
  </si>
  <si>
    <t xml:space="preserve"> Action</t>
  </si>
  <si>
    <t xml:space="preserve"> Adventure;117;USA;#N/A;Bob Persichetti</t>
  </si>
  <si>
    <t xml:space="preserve"> Peter Ramsey;;$ 375540831;335.892;8.1</t>
  </si>
  <si>
    <t>tt1187043;3 Idiots;2009-12-25;Comedy</t>
  </si>
  <si>
    <t xml:space="preserve"> Drama;170;India;#N/A;Rajkumar Hirani;;$ 60262836;332.217;8.1</t>
  </si>
  <si>
    <t>tt0119698;Mononoke-hime;2000-05-19;Animation</t>
  </si>
  <si>
    <t xml:space="preserve"> Fantasy;134;Japan;PG-13;Hayao Miyazaki;;$ 169785629;331.045;8.0</t>
  </si>
  <si>
    <t>tt0087843;Once Upon a Time in America;1984-09-28;Crime</t>
  </si>
  <si>
    <t xml:space="preserve"> Drama;229;USA;R;Sergio Leone;;$ 5472914;302.317;8.0</t>
  </si>
  <si>
    <t>tt0032553;The Great Dictator;1945-06-25;Comedy</t>
  </si>
  <si>
    <t xml:space="preserve"> War;125;USA;#N/A;Charles Chaplin;;$ 969879;197.381;8.0</t>
  </si>
  <si>
    <t>tt0043014;Sunset Blvd.;The 6th of marzo</t>
  </si>
  <si>
    <t xml:space="preserve"> year 1951;Drama</t>
  </si>
  <si>
    <t xml:space="preserve"> Film-Noir;110;USA;#N/A;Billy Wilder;;$ 299645;195.789;8.0</t>
  </si>
  <si>
    <t>tt0361748;Inglourious Basterds;2009-10-02;Adventure</t>
  </si>
  <si>
    <t xml:space="preserve"> War;153;Germany;R;Quentin Tarantino;;$ 321455689;1.229.958;8.0</t>
  </si>
  <si>
    <t>tt0169547;American Beauty;2000-01-21;Drama;122;USA;R;Sam Mendes;;$ 356296601;1.049.009;8.0</t>
  </si>
  <si>
    <t>tt0112573;Braveheart;1995-12-01;Biography</t>
  </si>
  <si>
    <t xml:space="preserve"> History;178;USA;R;Mel Gibson;;$ 213216216;941.683;7.9</t>
  </si>
  <si>
    <t>tt0086190;Star Wars: Episode VI - Return of the Jedi;1983-10-21;Action</t>
  </si>
  <si>
    <t xml:space="preserve"> Fantasy;131;USA;PG;Richard Marquand;;$ 475347111;928.036;7.9</t>
  </si>
  <si>
    <t>tt0105236;Reservoir Dogs;1992-10-09;Crime</t>
  </si>
  <si>
    <t xml:space="preserve"> Thriller;99;USA;R;Quentin Tarantino;;$ 2889963;896.551;7.9</t>
  </si>
  <si>
    <t>tt0338013;Eternal Sunshine of the Spotless Mind;2004-10-22;Drama</t>
  </si>
  <si>
    <t xml:space="preserve"> Sci-Fi;108;USA;R;Michel Gondry;;$ 74036715;889.875;7.9</t>
  </si>
  <si>
    <t>tt0114709;Toy Story;1996-03-22;Animation</t>
  </si>
  <si>
    <t xml:space="preserve"> Comedy;81;USA;G;John Lasseter;;$ 404265438;864.461;7.9</t>
  </si>
  <si>
    <t>tt0119217;Good Will Hunting;1998-03-06;Drama</t>
  </si>
  <si>
    <t xml:space="preserve"> Romance;126;USA;R;Gus Van Sant;;$ 225933435;837.379;7.8</t>
  </si>
  <si>
    <t>tt0208092;Snatch;2001-03-16;Comedy</t>
  </si>
  <si>
    <t xml:space="preserve"> Crime;104;UK;R;Guy Ritchie;;$ 83557872;766.589;7.8</t>
  </si>
  <si>
    <t>tt0180093;Requiem for a Dream;2000-12-15;Drama;102;USA;R;Darren Aronofsky;;$ 7390108;748.291;7.8</t>
  </si>
  <si>
    <t>tt0066921;A Clockwork Orange;1972-09-07;Crime</t>
  </si>
  <si>
    <t xml:space="preserve"> Sci-Fi;136;UK;#N/A;Stanley Kubrick;;$ 26903440;740.301;7.8</t>
  </si>
  <si>
    <t>tt0435761;Toy Story 3;2010-07-07;Animation</t>
  </si>
  <si>
    <t xml:space="preserve"> Comedy;103;USA;G;Lee Unkrich;;$ 1066969703;739.717;7.8</t>
  </si>
  <si>
    <t>tt0086250;Scarface;1984-02-34;Crime</t>
  </si>
  <si>
    <t xml:space="preserve"> Drama;170;USA;R;Brian De Palma;;$ 66023585;721.343;7.8</t>
  </si>
  <si>
    <t>tt0075314;Taxi Driver;1976-13-24;Crime</t>
  </si>
  <si>
    <t xml:space="preserve"> Drama;114;USA;R;Martin Scorsese;;$ 28441292;703.264;7.7</t>
  </si>
  <si>
    <t>tt0211915;Le fabuleux destin d'AmÃ©lie Poulain;2002-01-25;Comedy</t>
  </si>
  <si>
    <t xml:space="preserve"> Romance;122;France;R;Jean-Pierre Jeunet;;$ 173924742;690.480;7.7</t>
  </si>
  <si>
    <t>tt0093058;Full Metal Jacket;1987-10-09;Drama</t>
  </si>
  <si>
    <t xml:space="preserve"> War;116;UK;#N/A;Stanley Kubrick;;$ 46357676;658.175;7.7</t>
  </si>
  <si>
    <t>tt0090605;Aliens;1986-09-24;Action</t>
  </si>
  <si>
    <t xml:space="preserve"> Sci-Fi;137;USA;R;James Cameron;;$ 131384634;639.500;7.7</t>
  </si>
  <si>
    <t>tt0062622;2001: A Space Odyssey;1968-12-12;Adventure</t>
  </si>
  <si>
    <t xml:space="preserve"> Sci-Fi;149;UK;G;Stanley Kubrick;;$ 68989547;587.866;7.6</t>
  </si>
  <si>
    <t>tt0033467;Citizen Kane;1948-11-25;Drama</t>
  </si>
  <si>
    <t xml:space="preserve"> Mystery;119;USA;#N/A;Orson Welles;;$ 1594107;389.322;7.6</t>
  </si>
  <si>
    <t>tt8579674;1917;2020-01-23;Drama</t>
  </si>
  <si>
    <t xml:space="preserve"> War;119;USA;#N/A;Sam Mendes;;$ 384857224;362.897;7.6</t>
  </si>
  <si>
    <t>tt0086879;Amadeus;1985-02-15;Biography</t>
  </si>
  <si>
    <t xml:space="preserve"> History;160;USA;R;Milos Forman;;$ 52066791;361.028;7.6</t>
  </si>
  <si>
    <t>tt0052357;Vertigo;1958-11-18;Mystery</t>
  </si>
  <si>
    <t xml:space="preserve"> Thriller;128;USA;#N/A;Alfred Hitchcock;;$ 7796389;352.786;7.5</t>
  </si>
  <si>
    <t>tt0053125;North by Northwest;1959-10-28;Adventure</t>
  </si>
  <si>
    <t xml:space="preserve"> Thriller;136;USA;#N/A;Alfred Hitchcock;;$ 73446;291.628;7.5</t>
  </si>
  <si>
    <t>tt2106476;Jagten;2012-11-22;Drama;115;Denmark;R;Thomas Vinterberg;;$ 15843274;269.616;7.5</t>
  </si>
  <si>
    <t>tt0056172;Lawrence of Arabia;1963-10-29;Adventure</t>
  </si>
  <si>
    <t xml:space="preserve"> Biography</t>
  </si>
  <si>
    <t xml:space="preserve"> Drama;228;UK;PG;David Lean;;$ 45710874;261.504;7.5</t>
  </si>
  <si>
    <t>tt0070735;The Sting;1974-03-21;Comedy</t>
  </si>
  <si>
    <t xml:space="preserve"> Drama;129;USA;PG;George Roy Hill;;$ 156000000;236.285;7.5</t>
  </si>
  <si>
    <t>tt0082096;Das Boot;1982-03-18;Adventure</t>
  </si>
  <si>
    <t xml:space="preserve"> Thriller;149;West Germany;R;Wolfgang Petersen;;$ 11487676;226.427;7.5</t>
  </si>
  <si>
    <t>tt0059578;Per qualche dollaro in piÃ¹;1965-12-20;Western;132;Italy;#N/A;Sergio Leone;;$ 15000000;226.039;7.4</t>
  </si>
  <si>
    <t>tt1832382;Jodaeiye Nader az Simin;2011-10-21;Drama;123;Iran;PG-13;Asghar Farhadi;;$ 22926076;214.165;7.4</t>
  </si>
  <si>
    <t>tt0045152;Singin' in the Rain;1953-02-05;Comedy</t>
  </si>
  <si>
    <t xml:space="preserve"> Musical</t>
  </si>
  <si>
    <t xml:space="preserve"> Romance;103;USA;#N/A;Stanley Donen;;$ 1864182;213.152;7.4</t>
  </si>
  <si>
    <t>IMBD title ID</t>
  </si>
  <si>
    <t>Release year</t>
  </si>
  <si>
    <t>Duration</t>
  </si>
  <si>
    <t>Country</t>
  </si>
  <si>
    <t>Content Rating</t>
  </si>
  <si>
    <t>Director</t>
  </si>
  <si>
    <t>Income</t>
  </si>
  <si>
    <t xml:space="preserve"> Votes </t>
  </si>
  <si>
    <t>Score</t>
  </si>
  <si>
    <t>tt0111161</t>
  </si>
  <si>
    <t>The Shawshank Redemption</t>
  </si>
  <si>
    <t>Drama</t>
  </si>
  <si>
    <t>USA</t>
  </si>
  <si>
    <t>R</t>
  </si>
  <si>
    <t>Frank Darabont</t>
  </si>
  <si>
    <t>tt0068646</t>
  </si>
  <si>
    <t>The Godfather</t>
  </si>
  <si>
    <t>Crime</t>
  </si>
  <si>
    <t>tt0468569</t>
  </si>
  <si>
    <t>The Dark Knight</t>
  </si>
  <si>
    <t>Action</t>
  </si>
  <si>
    <t>tt0071562</t>
  </si>
  <si>
    <t>The Godfather: Part II</t>
  </si>
  <si>
    <t>tt0110912</t>
  </si>
  <si>
    <t>Pulp Fiction</t>
  </si>
  <si>
    <t>tt0167260</t>
  </si>
  <si>
    <t>The Lord of the Rings: The Return of the King</t>
  </si>
  <si>
    <t>tt0108052</t>
  </si>
  <si>
    <t>Schindler's List</t>
  </si>
  <si>
    <t>Biography</t>
  </si>
  <si>
    <t>tt0050083</t>
  </si>
  <si>
    <t>12 Angry Men</t>
  </si>
  <si>
    <t>tt1375666</t>
  </si>
  <si>
    <t>Inception</t>
  </si>
  <si>
    <t>tt0137523</t>
  </si>
  <si>
    <t>Fight Club</t>
  </si>
  <si>
    <t>UK</t>
  </si>
  <si>
    <t>David Fincher</t>
  </si>
  <si>
    <t>tt0109830</t>
  </si>
  <si>
    <t>Forrest Gump</t>
  </si>
  <si>
    <t>tt0120737</t>
  </si>
  <si>
    <t>The Lord of the Rings: The Fellowship of the Ring</t>
  </si>
  <si>
    <t>tt0060196</t>
  </si>
  <si>
    <t>Il buono</t>
  </si>
  <si>
    <t>tt0133093</t>
  </si>
  <si>
    <t>The Matrix</t>
  </si>
  <si>
    <t>tt0167261</t>
  </si>
  <si>
    <t>The Lord of the Rings: The Two Towers</t>
  </si>
  <si>
    <t>tt0080684</t>
  </si>
  <si>
    <t>Star Wars: Episode V - The Empire Strikes Back</t>
  </si>
  <si>
    <t>tt0099685</t>
  </si>
  <si>
    <t>Goodfellas</t>
  </si>
  <si>
    <t>tt0073486</t>
  </si>
  <si>
    <t>One Flew Over the Cuckoo's Nest</t>
  </si>
  <si>
    <t>Milos Forman</t>
  </si>
  <si>
    <t>tt0816692</t>
  </si>
  <si>
    <t>Interstellar</t>
  </si>
  <si>
    <t>Adventure</t>
  </si>
  <si>
    <t>tt0114369</t>
  </si>
  <si>
    <t>Se7en</t>
  </si>
  <si>
    <t>tt0102926</t>
  </si>
  <si>
    <t>The Silence of the Lambs</t>
  </si>
  <si>
    <t>tt0076759</t>
  </si>
  <si>
    <t>Star Wars</t>
  </si>
  <si>
    <t>tt0120815</t>
  </si>
  <si>
    <t>Saving Private Ryan</t>
  </si>
  <si>
    <t>tt0120689</t>
  </si>
  <si>
    <t>The Green Mile</t>
  </si>
  <si>
    <t>tt0317248</t>
  </si>
  <si>
    <t>Cidade de Deus</t>
  </si>
  <si>
    <t>tt0245429</t>
  </si>
  <si>
    <t>Sen to Chihiro no kamikakushi</t>
  </si>
  <si>
    <t>Animation</t>
  </si>
  <si>
    <t>tt0118799</t>
  </si>
  <si>
    <t>Comedy</t>
  </si>
  <si>
    <t>tt6751668</t>
  </si>
  <si>
    <t>Gisaengchung</t>
  </si>
  <si>
    <t>tt0038650</t>
  </si>
  <si>
    <t>It's a Wonderful Life</t>
  </si>
  <si>
    <t>tt0047478</t>
  </si>
  <si>
    <t>Shichinin no samurai</t>
  </si>
  <si>
    <t>tt0172495</t>
  </si>
  <si>
    <t>Gladiator</t>
  </si>
  <si>
    <t>tt0407887</t>
  </si>
  <si>
    <t>The Departed</t>
  </si>
  <si>
    <t>tt0482571</t>
  </si>
  <si>
    <t>The Prestige</t>
  </si>
  <si>
    <t>tt0088763</t>
  </si>
  <si>
    <t>Back to the Future</t>
  </si>
  <si>
    <t>tt0120586</t>
  </si>
  <si>
    <t>American History X</t>
  </si>
  <si>
    <t>Tony Kaye</t>
  </si>
  <si>
    <t>tt0110413</t>
  </si>
  <si>
    <t>tt0103064</t>
  </si>
  <si>
    <t>Terminator 2: Judgment Day</t>
  </si>
  <si>
    <t>tt0114814</t>
  </si>
  <si>
    <t>The Usual Suspects</t>
  </si>
  <si>
    <t>tt0110357</t>
  </si>
  <si>
    <t>The Lion King</t>
  </si>
  <si>
    <t>tt7286456</t>
  </si>
  <si>
    <t>Joker</t>
  </si>
  <si>
    <t>tt1675434</t>
  </si>
  <si>
    <t>Intouchables</t>
  </si>
  <si>
    <t>tt0253474</t>
  </si>
  <si>
    <t>The Pianist</t>
  </si>
  <si>
    <t>tt2582802</t>
  </si>
  <si>
    <t>Whiplash</t>
  </si>
  <si>
    <t>tt0054215</t>
  </si>
  <si>
    <t>Psycho</t>
  </si>
  <si>
    <t>Horror</t>
  </si>
  <si>
    <t>tt0034583</t>
  </si>
  <si>
    <t>Casablanca</t>
  </si>
  <si>
    <t>tt0064116</t>
  </si>
  <si>
    <t>C'era una volta il West</t>
  </si>
  <si>
    <t>Western</t>
  </si>
  <si>
    <t>Italy</t>
  </si>
  <si>
    <t>PG-13</t>
  </si>
  <si>
    <t>Sergio Leone</t>
  </si>
  <si>
    <t>tt0095327</t>
  </si>
  <si>
    <t>Hotaru no haka</t>
  </si>
  <si>
    <t>tt0095765</t>
  </si>
  <si>
    <t>Nuovo Cinema Paradiso</t>
  </si>
  <si>
    <t>Giuseppe Tornatore</t>
  </si>
  <si>
    <t>tt0027977</t>
  </si>
  <si>
    <t>Modern Times</t>
  </si>
  <si>
    <t>tt1345836</t>
  </si>
  <si>
    <t>The Dark Knight Rises</t>
  </si>
  <si>
    <t>tt1853728</t>
  </si>
  <si>
    <t>Django Unchained</t>
  </si>
  <si>
    <t>tt0209144</t>
  </si>
  <si>
    <t>Memento</t>
  </si>
  <si>
    <t>Mystery</t>
  </si>
  <si>
    <t>tt0910970</t>
  </si>
  <si>
    <t>tt0081505</t>
  </si>
  <si>
    <t>The Shining</t>
  </si>
  <si>
    <t>tt0082971</t>
  </si>
  <si>
    <t>Raiders of the Lost Ark</t>
  </si>
  <si>
    <t>tt4154756</t>
  </si>
  <si>
    <t>Avengers: Infinity War</t>
  </si>
  <si>
    <t>tt0078748</t>
  </si>
  <si>
    <t>Alien</t>
  </si>
  <si>
    <t>tt4154796</t>
  </si>
  <si>
    <t>Avengers: Endgame</t>
  </si>
  <si>
    <t>tt0078788</t>
  </si>
  <si>
    <t>Apocalypse Now</t>
  </si>
  <si>
    <t>tt0364569</t>
  </si>
  <si>
    <t>Oldeuboi</t>
  </si>
  <si>
    <t>tt0057012</t>
  </si>
  <si>
    <t>Dr. Strangelove or: How I Learned to Stop Worrying and Love the Bomb</t>
  </si>
  <si>
    <t>PG</t>
  </si>
  <si>
    <t>Stanley Kubrick</t>
  </si>
  <si>
    <t>tt0047396</t>
  </si>
  <si>
    <t>Rear Window</t>
  </si>
  <si>
    <t>tt2380307</t>
  </si>
  <si>
    <t>Coco</t>
  </si>
  <si>
    <t>tt0405094</t>
  </si>
  <si>
    <t>Das Leben der Anderen</t>
  </si>
  <si>
    <t>tt4633694</t>
  </si>
  <si>
    <t>Spider-Man: Into the Spider-Verse</t>
  </si>
  <si>
    <t>tt1187043</t>
  </si>
  <si>
    <t>3 Idiots</t>
  </si>
  <si>
    <t>tt0119698</t>
  </si>
  <si>
    <t>Mononoke-hime</t>
  </si>
  <si>
    <t>tt0087843</t>
  </si>
  <si>
    <t>Once Upon a Time in America</t>
  </si>
  <si>
    <t>tt0032553</t>
  </si>
  <si>
    <t>The Great Dictator</t>
  </si>
  <si>
    <t>tt0043014</t>
  </si>
  <si>
    <t>Sunset Blvd.</t>
  </si>
  <si>
    <t>tt0361748</t>
  </si>
  <si>
    <t>Inglourious Basterds</t>
  </si>
  <si>
    <t>tt0169547</t>
  </si>
  <si>
    <t>American Beauty</t>
  </si>
  <si>
    <t>Sam Mendes</t>
  </si>
  <si>
    <t>tt0112573</t>
  </si>
  <si>
    <t>Braveheart</t>
  </si>
  <si>
    <t>tt0086190</t>
  </si>
  <si>
    <t>Star Wars: Episode VI - Return of the Jedi</t>
  </si>
  <si>
    <t>tt0105236</t>
  </si>
  <si>
    <t>Reservoir Dogs</t>
  </si>
  <si>
    <t>tt0338013</t>
  </si>
  <si>
    <t>Eternal Sunshine of the Spotless Mind</t>
  </si>
  <si>
    <t>tt0114709</t>
  </si>
  <si>
    <t>Toy Story</t>
  </si>
  <si>
    <t>tt0119217</t>
  </si>
  <si>
    <t>Good Will Hunting</t>
  </si>
  <si>
    <t>tt0208092</t>
  </si>
  <si>
    <t>Snatch</t>
  </si>
  <si>
    <t>tt0180093</t>
  </si>
  <si>
    <t>Requiem for a Dream</t>
  </si>
  <si>
    <t>Darren Aronofsky</t>
  </si>
  <si>
    <t>tt0066921</t>
  </si>
  <si>
    <t>A Clockwork Orange</t>
  </si>
  <si>
    <t>tt0435761</t>
  </si>
  <si>
    <t>Toy Story 3</t>
  </si>
  <si>
    <t>tt0086250</t>
  </si>
  <si>
    <t>Scarface</t>
  </si>
  <si>
    <t>tt0075314</t>
  </si>
  <si>
    <t>Taxi Driver</t>
  </si>
  <si>
    <t>tt0211915</t>
  </si>
  <si>
    <t>tt0093058</t>
  </si>
  <si>
    <t>Full Metal Jacket</t>
  </si>
  <si>
    <t>tt0090605</t>
  </si>
  <si>
    <t>Aliens</t>
  </si>
  <si>
    <t>tt0062622</t>
  </si>
  <si>
    <t>2001: A Space Odyssey</t>
  </si>
  <si>
    <t>tt0033467</t>
  </si>
  <si>
    <t>Citizen Kane</t>
  </si>
  <si>
    <t>tt8579674</t>
  </si>
  <si>
    <t>tt0086879</t>
  </si>
  <si>
    <t>Amadeus</t>
  </si>
  <si>
    <t>tt0052357</t>
  </si>
  <si>
    <t>Vertigo</t>
  </si>
  <si>
    <t>tt0053125</t>
  </si>
  <si>
    <t>North by Northwest</t>
  </si>
  <si>
    <t>tt2106476</t>
  </si>
  <si>
    <t>Jagten</t>
  </si>
  <si>
    <t>Denmark</t>
  </si>
  <si>
    <t>Thomas Vinterberg</t>
  </si>
  <si>
    <t>tt0056172</t>
  </si>
  <si>
    <t>Lawrence of Arabia</t>
  </si>
  <si>
    <t>tt0070735</t>
  </si>
  <si>
    <t>The Sting</t>
  </si>
  <si>
    <t>tt0082096</t>
  </si>
  <si>
    <t>Das Boot</t>
  </si>
  <si>
    <t>tt0059578</t>
  </si>
  <si>
    <t>tt1832382</t>
  </si>
  <si>
    <t>Jodaeiye Nader az Simin</t>
  </si>
  <si>
    <t>Iran</t>
  </si>
  <si>
    <t>Asghar Farhadi</t>
  </si>
  <si>
    <t>tt0045152</t>
  </si>
  <si>
    <t>Singin' in the Rain</t>
  </si>
  <si>
    <t>Original title</t>
  </si>
  <si>
    <t>Genre</t>
  </si>
  <si>
    <t>Christopher Nolan</t>
  </si>
  <si>
    <t>Francis Ford Coppola</t>
  </si>
  <si>
    <t>Quentin Tarantino</t>
  </si>
  <si>
    <t>Peter Jackson</t>
  </si>
  <si>
    <t>Steven Spielberg</t>
  </si>
  <si>
    <t>Sydney Lument</t>
  </si>
  <si>
    <t>Robert Zemeckis</t>
  </si>
  <si>
    <t>Segion Leone</t>
  </si>
  <si>
    <t>Irvin Kershner</t>
  </si>
  <si>
    <t>Martin Scorsese</t>
  </si>
  <si>
    <t>Johnathan Demme</t>
  </si>
  <si>
    <t>George Lucas</t>
  </si>
  <si>
    <t>Brazil</t>
  </si>
  <si>
    <t>Fernando Meirelles</t>
  </si>
  <si>
    <t>Japan</t>
  </si>
  <si>
    <t>Hayao Miyazaki</t>
  </si>
  <si>
    <t>Roberto Benigni</t>
  </si>
  <si>
    <t>South Korea</t>
  </si>
  <si>
    <t>Bong Joon Ho</t>
  </si>
  <si>
    <t>Frank Capra</t>
  </si>
  <si>
    <t>Akira Kurosawa</t>
  </si>
  <si>
    <t>Ridley Scott</t>
  </si>
  <si>
    <t>Luc Besson</t>
  </si>
  <si>
    <t>James Cameron</t>
  </si>
  <si>
    <t>Bryan Singer</t>
  </si>
  <si>
    <t>Rob Minkoff</t>
  </si>
  <si>
    <t>Todd Philips</t>
  </si>
  <si>
    <t>France</t>
  </si>
  <si>
    <t>Olivier Nakache</t>
  </si>
  <si>
    <t>Poland</t>
  </si>
  <si>
    <t>Roman Polanski</t>
  </si>
  <si>
    <t>Damien Chazelle</t>
  </si>
  <si>
    <t>Alfred Hitchcock</t>
  </si>
  <si>
    <t>Michael Curtiz</t>
  </si>
  <si>
    <t>Isao Takahata</t>
  </si>
  <si>
    <t>Charlie Chaplin</t>
  </si>
  <si>
    <t>Andrew Stanton</t>
  </si>
  <si>
    <t>G</t>
  </si>
  <si>
    <t>Joe Russo</t>
  </si>
  <si>
    <t>Park Chan-wook</t>
  </si>
  <si>
    <t>Adrian Molina</t>
  </si>
  <si>
    <t>Germany</t>
  </si>
  <si>
    <t>Florian Henckel von Donnersmarck</t>
  </si>
  <si>
    <t>Peter Ramsey</t>
  </si>
  <si>
    <t>India</t>
  </si>
  <si>
    <t>Rajkumar Hirani</t>
  </si>
  <si>
    <t>Billy Wilder</t>
  </si>
  <si>
    <t>Mel Gibson</t>
  </si>
  <si>
    <t>Richard Marquand</t>
  </si>
  <si>
    <t>John Lasseter</t>
  </si>
  <si>
    <t>Gus Van Sant</t>
  </si>
  <si>
    <t>Guy Ritchie</t>
  </si>
  <si>
    <t>Michael Gondry</t>
  </si>
  <si>
    <t>Lee Unkrich</t>
  </si>
  <si>
    <t>Brian De Palma</t>
  </si>
  <si>
    <t>Jean-Pierre Jeunet</t>
  </si>
  <si>
    <t>Orson Welles</t>
  </si>
  <si>
    <t>David Lean</t>
  </si>
  <si>
    <t>George Roy Hill</t>
  </si>
  <si>
    <t>Wolfgang Petersen</t>
  </si>
  <si>
    <t>Gene Kelly</t>
  </si>
  <si>
    <t>New Zealand</t>
  </si>
  <si>
    <t>La vita e bella</t>
  </si>
  <si>
    <t>Leon</t>
  </si>
  <si>
    <t>Le fabuleux destin d'amelie Poulain</t>
  </si>
  <si>
    <t>Per qualche dollaro in piu</t>
  </si>
  <si>
    <t>Lana Wachowski, Lily wachowski</t>
  </si>
  <si>
    <t>Anthony Russo, Joe Russo</t>
  </si>
  <si>
    <t>WALL ·E</t>
  </si>
  <si>
    <t>STEP</t>
  </si>
  <si>
    <t>ACTION</t>
  </si>
  <si>
    <t>FIELD/COLUMN AFFECTED</t>
  </si>
  <si>
    <t>TOOL/FORMULA USED</t>
  </si>
  <si>
    <t>BEFORE STATE</t>
  </si>
  <si>
    <t>AFTER STATE</t>
  </si>
  <si>
    <t>NOTES/REASONS</t>
  </si>
  <si>
    <t>Removed duplicates</t>
  </si>
  <si>
    <t>Entire dataset</t>
  </si>
  <si>
    <t>Data &gt; Remove duplicates</t>
  </si>
  <si>
    <t>101 rows</t>
  </si>
  <si>
    <t>Field separation</t>
  </si>
  <si>
    <t>Data &gt; Text to column</t>
  </si>
  <si>
    <t>Delimited text</t>
  </si>
  <si>
    <t>Tabular data</t>
  </si>
  <si>
    <t>Transformed the dataset from a semi-structured string format into a structured tabular schema within excel</t>
  </si>
  <si>
    <t>Column names correction</t>
  </si>
  <si>
    <t>Genre &amp; Original title</t>
  </si>
  <si>
    <t>Included special characters</t>
  </si>
  <si>
    <t>Special characters removed</t>
  </si>
  <si>
    <t>DD/MM/YYYY</t>
  </si>
  <si>
    <t>MM/DD/YYYY</t>
  </si>
  <si>
    <t>Release date was formatted from MDY to DMY</t>
  </si>
  <si>
    <t>Adjusted date format</t>
  </si>
  <si>
    <t>Converted time format</t>
  </si>
  <si>
    <t>Manually</t>
  </si>
  <si>
    <t>Number format</t>
  </si>
  <si>
    <t>hr:min:sec</t>
  </si>
  <si>
    <t>Manually converted duration time into proper hr:min:sec format</t>
  </si>
  <si>
    <t>Handeled missing and invalid values</t>
  </si>
  <si>
    <t>Country, Content rating, Director, Income, Votes &amp; Score</t>
  </si>
  <si>
    <t>(blank)</t>
  </si>
  <si>
    <t>Appropriate value</t>
  </si>
  <si>
    <t>Converted data type</t>
  </si>
  <si>
    <t>Income &amp; Votes</t>
  </si>
  <si>
    <t>Home &gt; Number format</t>
  </si>
  <si>
    <t>Stored as accounting</t>
  </si>
  <si>
    <t>Stored as number</t>
  </si>
  <si>
    <t>Converted Income and Votes column to numeric by removing '$', ',', and '.' separators</t>
  </si>
  <si>
    <t>Handled missing values using excel formulas</t>
  </si>
  <si>
    <t>Average()</t>
  </si>
  <si>
    <t>Used Mean (AVERAGE) function to fill missing score value</t>
  </si>
  <si>
    <t>619 blank cells were manually verified and replaced with correct values</t>
  </si>
  <si>
    <t>Values inserted</t>
  </si>
  <si>
    <t>Corrected column names and removed any special characters or extra spaces</t>
  </si>
  <si>
    <t>6 duplicate values found and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</si>
</sst>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.0"/>
    <numFmt numFmtId="165" formatCode="[$-F400]h:mm:ss\ AM/PM"/>
  </numFmts>
  <fonts count="2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rgb="FF0F1111"/>
      <name val="Calibri"/>
      <family val="2"/>
      <scheme val="minor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11" fontId="0" fillId="0" borderId="0" xfId="0" applyNumberFormat="1"/>
    <xf numFmtId="14" fontId="0" fillId="0" borderId="0" xfId="0" applyNumberFormat="1"/>
    <xf numFmtId="43" fontId="0" fillId="0" borderId="0" xfId="0" applyNumberFormat="1"/>
    <xf numFmtId="1" fontId="0" fillId="0" borderId="0" xfId="42" applyNumberFormat="1" applyFont="1"/>
    <xf numFmtId="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" fontId="18" fillId="0" borderId="0" xfId="42" applyNumberFormat="1" applyFont="1"/>
    <xf numFmtId="1" fontId="18" fillId="0" borderId="0" xfId="0" applyNumberFormat="1" applyFont="1"/>
    <xf numFmtId="1" fontId="19" fillId="0" borderId="0" xfId="0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4" formatCode="0.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1"/>
        <name val="Calibri"/>
        <scheme val="minor"/>
      </font>
      <numFmt numFmtId="1" formatCode="0"/>
    </dxf>
    <dxf>
      <numFmt numFmtId="165" formatCode="[$-F400]h:mm:ss\ AM/PM"/>
    </dxf>
    <dxf>
      <numFmt numFmtId="19" formatCode="dd/mm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K101" totalsRowShown="0">
  <autoFilter ref="A1:K101"/>
  <tableColumns count="11">
    <tableColumn id="1" name="IMBD title ID"/>
    <tableColumn id="2" name="Original title" dataDxfId="5"/>
    <tableColumn id="3" name="Release year" dataDxfId="4"/>
    <tableColumn id="4" name="Genre"/>
    <tableColumn id="5" name="Duration" dataDxfId="3"/>
    <tableColumn id="6" name="Country"/>
    <tableColumn id="7" name="Content Rating"/>
    <tableColumn id="8" name="Director"/>
    <tableColumn id="9" name="Income" dataDxfId="2"/>
    <tableColumn id="10" name=" Votes " dataDxfId="1"/>
    <tableColumn id="11" name="Score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workbookViewId="0">
      <selection activeCell="P7" sqref="P7"/>
    </sheetView>
  </sheetViews>
  <sheetFormatPr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</row>
    <row r="3" spans="1:5" x14ac:dyDescent="0.25">
      <c r="A3" t="s">
        <v>2</v>
      </c>
      <c r="B3" t="s">
        <v>3</v>
      </c>
    </row>
    <row r="4" spans="1:5" x14ac:dyDescent="0.25">
      <c r="A4" t="s">
        <v>4</v>
      </c>
      <c r="B4" t="s">
        <v>5</v>
      </c>
      <c r="C4" t="s">
        <v>6</v>
      </c>
    </row>
    <row r="5" spans="1:5" x14ac:dyDescent="0.25">
      <c r="A5" t="s">
        <v>7</v>
      </c>
      <c r="B5" t="s">
        <v>8</v>
      </c>
      <c r="C5">
        <v>35</v>
      </c>
      <c r="D5" t="s">
        <v>9</v>
      </c>
      <c r="E5">
        <v>0</v>
      </c>
    </row>
    <row r="6" spans="1:5" x14ac:dyDescent="0.25">
      <c r="A6" t="s">
        <v>10</v>
      </c>
      <c r="B6" t="s">
        <v>11</v>
      </c>
      <c r="C6" t="s">
        <v>12</v>
      </c>
    </row>
    <row r="7" spans="1:5" x14ac:dyDescent="0.25">
      <c r="A7" t="s">
        <v>13</v>
      </c>
      <c r="B7" t="s">
        <v>14</v>
      </c>
      <c r="C7" t="s">
        <v>15</v>
      </c>
    </row>
    <row r="8" spans="1:5" x14ac:dyDescent="0.25">
      <c r="A8" t="s">
        <v>16</v>
      </c>
      <c r="B8" t="s">
        <v>17</v>
      </c>
      <c r="C8" t="s">
        <v>18</v>
      </c>
    </row>
    <row r="9" spans="1:5" x14ac:dyDescent="0.25">
      <c r="A9" t="s">
        <v>19</v>
      </c>
      <c r="B9" t="s">
        <v>20</v>
      </c>
    </row>
    <row r="10" spans="1:5" x14ac:dyDescent="0.25">
      <c r="A10" t="s">
        <v>21</v>
      </c>
      <c r="B10" t="s">
        <v>14</v>
      </c>
      <c r="C10" t="s">
        <v>22</v>
      </c>
    </row>
    <row r="11" spans="1:5" x14ac:dyDescent="0.25">
      <c r="A11" t="s">
        <v>23</v>
      </c>
    </row>
    <row r="12" spans="1:5" x14ac:dyDescent="0.25">
      <c r="A12" t="s">
        <v>24</v>
      </c>
      <c r="B12" t="s">
        <v>25</v>
      </c>
    </row>
    <row r="13" spans="1:5" x14ac:dyDescent="0.25">
      <c r="A13" t="s">
        <v>26</v>
      </c>
      <c r="B13" t="s">
        <v>14</v>
      </c>
      <c r="C13" t="s">
        <v>27</v>
      </c>
    </row>
    <row r="14" spans="1:5" x14ac:dyDescent="0.25">
      <c r="A14" t="s">
        <v>28</v>
      </c>
      <c r="B14" t="s">
        <v>29</v>
      </c>
      <c r="C14" t="s">
        <v>30</v>
      </c>
    </row>
    <row r="15" spans="1:5" x14ac:dyDescent="0.25">
      <c r="A15" t="s">
        <v>31</v>
      </c>
    </row>
    <row r="16" spans="1:5" x14ac:dyDescent="0.25">
      <c r="A16" t="s">
        <v>32</v>
      </c>
      <c r="B16" t="s">
        <v>33</v>
      </c>
      <c r="C16" t="s">
        <v>34</v>
      </c>
    </row>
    <row r="17" spans="1:4" x14ac:dyDescent="0.25">
      <c r="A17" t="s">
        <v>35</v>
      </c>
      <c r="B17" t="s">
        <v>14</v>
      </c>
      <c r="C17" t="s">
        <v>36</v>
      </c>
    </row>
    <row r="18" spans="1:4" x14ac:dyDescent="0.25">
      <c r="A18" t="s">
        <v>37</v>
      </c>
      <c r="B18" t="s">
        <v>14</v>
      </c>
      <c r="C18" t="s">
        <v>38</v>
      </c>
      <c r="D18" s="1">
        <v>7</v>
      </c>
    </row>
    <row r="19" spans="1:4" x14ac:dyDescent="0.25">
      <c r="A19" t="s">
        <v>39</v>
      </c>
      <c r="B19" t="s">
        <v>5</v>
      </c>
      <c r="C19" t="s">
        <v>40</v>
      </c>
    </row>
    <row r="20" spans="1:4" x14ac:dyDescent="0.25">
      <c r="A20" t="s">
        <v>41</v>
      </c>
    </row>
    <row r="21" spans="1:4" x14ac:dyDescent="0.25">
      <c r="A21" t="s">
        <v>42</v>
      </c>
      <c r="B21" t="s">
        <v>17</v>
      </c>
      <c r="C21" t="s">
        <v>43</v>
      </c>
    </row>
    <row r="22" spans="1:4" x14ac:dyDescent="0.25">
      <c r="A22" t="s">
        <v>44</v>
      </c>
      <c r="B22" t="s">
        <v>17</v>
      </c>
      <c r="C22" t="s">
        <v>45</v>
      </c>
    </row>
    <row r="23" spans="1:4" x14ac:dyDescent="0.25">
      <c r="A23" t="s">
        <v>46</v>
      </c>
      <c r="B23" t="s">
        <v>17</v>
      </c>
      <c r="C23" t="s">
        <v>47</v>
      </c>
      <c r="D23">
        <v>6</v>
      </c>
    </row>
    <row r="24" spans="1:4" x14ac:dyDescent="0.25">
      <c r="A24" t="s">
        <v>48</v>
      </c>
      <c r="B24" t="s">
        <v>14</v>
      </c>
      <c r="C24" t="s">
        <v>49</v>
      </c>
    </row>
    <row r="25" spans="1:4" x14ac:dyDescent="0.25">
      <c r="A25" t="s">
        <v>50</v>
      </c>
      <c r="B25" t="s">
        <v>51</v>
      </c>
    </row>
    <row r="26" spans="1:4" x14ac:dyDescent="0.25">
      <c r="A26" t="s">
        <v>52</v>
      </c>
      <c r="B26" t="s">
        <v>17</v>
      </c>
      <c r="C26" t="s">
        <v>53</v>
      </c>
    </row>
    <row r="27" spans="1:4" x14ac:dyDescent="0.25">
      <c r="A27" t="s">
        <v>54</v>
      </c>
      <c r="B27" t="s">
        <v>55</v>
      </c>
      <c r="C27" t="s">
        <v>56</v>
      </c>
    </row>
    <row r="28" spans="1:4" x14ac:dyDescent="0.25">
      <c r="A28" t="s">
        <v>57</v>
      </c>
      <c r="B28" t="s">
        <v>14</v>
      </c>
      <c r="C28" t="s">
        <v>58</v>
      </c>
    </row>
    <row r="29" spans="1:4" x14ac:dyDescent="0.25">
      <c r="A29" t="s">
        <v>59</v>
      </c>
      <c r="B29" t="s">
        <v>17</v>
      </c>
      <c r="C29" t="s">
        <v>60</v>
      </c>
    </row>
    <row r="30" spans="1:4" x14ac:dyDescent="0.25">
      <c r="A30" t="s">
        <v>61</v>
      </c>
      <c r="B30" t="s">
        <v>17</v>
      </c>
      <c r="C30" t="s">
        <v>62</v>
      </c>
    </row>
    <row r="31" spans="1:4" x14ac:dyDescent="0.25">
      <c r="A31" t="s">
        <v>63</v>
      </c>
      <c r="B31" t="s">
        <v>64</v>
      </c>
      <c r="C31" t="s">
        <v>65</v>
      </c>
    </row>
    <row r="32" spans="1:4" x14ac:dyDescent="0.25">
      <c r="A32" t="s">
        <v>66</v>
      </c>
      <c r="B32" t="s">
        <v>14</v>
      </c>
      <c r="C32" t="s">
        <v>67</v>
      </c>
    </row>
    <row r="33" spans="1:4" x14ac:dyDescent="0.25">
      <c r="A33" t="s">
        <v>68</v>
      </c>
      <c r="B33" t="s">
        <v>14</v>
      </c>
      <c r="C33" t="s">
        <v>69</v>
      </c>
    </row>
    <row r="34" spans="1:4" x14ac:dyDescent="0.25">
      <c r="A34" t="s">
        <v>70</v>
      </c>
      <c r="B34" t="s">
        <v>17</v>
      </c>
      <c r="C34" t="s">
        <v>71</v>
      </c>
    </row>
    <row r="35" spans="1:4" x14ac:dyDescent="0.25">
      <c r="A35" t="s">
        <v>72</v>
      </c>
      <c r="B35" t="s">
        <v>73</v>
      </c>
      <c r="C35" t="s">
        <v>74</v>
      </c>
    </row>
    <row r="36" spans="1:4" x14ac:dyDescent="0.25">
      <c r="A36" t="s">
        <v>75</v>
      </c>
      <c r="B36" t="s">
        <v>76</v>
      </c>
      <c r="C36" t="s">
        <v>77</v>
      </c>
    </row>
    <row r="37" spans="1:4" x14ac:dyDescent="0.25">
      <c r="A37" t="s">
        <v>78</v>
      </c>
    </row>
    <row r="38" spans="1:4" x14ac:dyDescent="0.25">
      <c r="A38" t="s">
        <v>79</v>
      </c>
      <c r="B38" t="s">
        <v>5</v>
      </c>
      <c r="C38" t="s">
        <v>80</v>
      </c>
    </row>
    <row r="39" spans="1:4" x14ac:dyDescent="0.25">
      <c r="A39" t="s">
        <v>81</v>
      </c>
      <c r="B39" t="s">
        <v>82</v>
      </c>
    </row>
    <row r="40" spans="1:4" x14ac:dyDescent="0.25">
      <c r="A40" t="s">
        <v>83</v>
      </c>
      <c r="B40" t="s">
        <v>73</v>
      </c>
      <c r="C40" t="s">
        <v>84</v>
      </c>
    </row>
    <row r="41" spans="1:4" x14ac:dyDescent="0.25">
      <c r="A41" t="s">
        <v>85</v>
      </c>
      <c r="B41" t="s">
        <v>14</v>
      </c>
      <c r="C41" t="s">
        <v>86</v>
      </c>
      <c r="D41" t="s">
        <v>87</v>
      </c>
    </row>
    <row r="42" spans="1:4" x14ac:dyDescent="0.25">
      <c r="A42" t="s">
        <v>88</v>
      </c>
      <c r="B42" t="s">
        <v>17</v>
      </c>
      <c r="C42" t="s">
        <v>89</v>
      </c>
    </row>
    <row r="43" spans="1:4" x14ac:dyDescent="0.25">
      <c r="A43" t="s">
        <v>90</v>
      </c>
      <c r="B43" t="s">
        <v>76</v>
      </c>
      <c r="C43" t="s">
        <v>91</v>
      </c>
      <c r="D43" t="s">
        <v>92</v>
      </c>
    </row>
    <row r="44" spans="1:4" x14ac:dyDescent="0.25">
      <c r="A44" t="s">
        <v>93</v>
      </c>
      <c r="B44" t="s">
        <v>17</v>
      </c>
      <c r="C44" t="s">
        <v>94</v>
      </c>
    </row>
    <row r="45" spans="1:4" x14ac:dyDescent="0.25">
      <c r="A45" t="s">
        <v>95</v>
      </c>
      <c r="B45" t="s">
        <v>96</v>
      </c>
    </row>
    <row r="46" spans="1:4" x14ac:dyDescent="0.25">
      <c r="A46" t="s">
        <v>97</v>
      </c>
      <c r="B46" t="s">
        <v>73</v>
      </c>
      <c r="C46" t="s">
        <v>98</v>
      </c>
    </row>
    <row r="47" spans="1:4" x14ac:dyDescent="0.25">
      <c r="A47" t="s">
        <v>99</v>
      </c>
      <c r="B47" t="s">
        <v>100</v>
      </c>
      <c r="C47" t="s">
        <v>101</v>
      </c>
    </row>
    <row r="48" spans="1:4" x14ac:dyDescent="0.25">
      <c r="A48" t="s">
        <v>102</v>
      </c>
    </row>
    <row r="49" spans="1:4" x14ac:dyDescent="0.25">
      <c r="A49" t="s">
        <v>103</v>
      </c>
      <c r="B49" t="s">
        <v>17</v>
      </c>
      <c r="C49" t="s">
        <v>104</v>
      </c>
    </row>
    <row r="50" spans="1:4" x14ac:dyDescent="0.25">
      <c r="A50" t="s">
        <v>105</v>
      </c>
    </row>
    <row r="51" spans="1:4" x14ac:dyDescent="0.25">
      <c r="A51" t="s">
        <v>106</v>
      </c>
      <c r="B51" t="s">
        <v>17</v>
      </c>
      <c r="C51" t="s">
        <v>107</v>
      </c>
    </row>
    <row r="52" spans="1:4" x14ac:dyDescent="0.25">
      <c r="A52" t="s">
        <v>108</v>
      </c>
      <c r="B52" t="s">
        <v>109</v>
      </c>
    </row>
    <row r="53" spans="1:4" x14ac:dyDescent="0.25">
      <c r="A53" t="s">
        <v>110</v>
      </c>
      <c r="B53" t="s">
        <v>111</v>
      </c>
    </row>
    <row r="54" spans="1:4" x14ac:dyDescent="0.25">
      <c r="A54" t="s">
        <v>112</v>
      </c>
      <c r="B54" t="s">
        <v>113</v>
      </c>
    </row>
    <row r="55" spans="1:4" x14ac:dyDescent="0.25">
      <c r="A55" t="s">
        <v>114</v>
      </c>
      <c r="B55" t="s">
        <v>14</v>
      </c>
      <c r="C55" t="s">
        <v>115</v>
      </c>
    </row>
    <row r="56" spans="1:4" x14ac:dyDescent="0.25">
      <c r="A56" t="s">
        <v>116</v>
      </c>
      <c r="B56" t="s">
        <v>117</v>
      </c>
    </row>
    <row r="57" spans="1:4" x14ac:dyDescent="0.25">
      <c r="A57" t="s">
        <v>118</v>
      </c>
      <c r="B57" t="s">
        <v>119</v>
      </c>
    </row>
    <row r="58" spans="1:4" x14ac:dyDescent="0.25">
      <c r="A58" t="s">
        <v>120</v>
      </c>
      <c r="B58" t="s">
        <v>14</v>
      </c>
      <c r="C58" t="s">
        <v>121</v>
      </c>
      <c r="D58" t="s">
        <v>122</v>
      </c>
    </row>
    <row r="59" spans="1:4" x14ac:dyDescent="0.25">
      <c r="A59" t="s">
        <v>123</v>
      </c>
      <c r="B59" t="s">
        <v>124</v>
      </c>
    </row>
    <row r="60" spans="1:4" x14ac:dyDescent="0.25">
      <c r="A60" t="s">
        <v>125</v>
      </c>
      <c r="B60" t="s">
        <v>14</v>
      </c>
      <c r="C60" t="s">
        <v>126</v>
      </c>
      <c r="D60" t="s">
        <v>127</v>
      </c>
    </row>
    <row r="61" spans="1:4" x14ac:dyDescent="0.25">
      <c r="A61" t="s">
        <v>128</v>
      </c>
      <c r="B61" t="s">
        <v>73</v>
      </c>
      <c r="C61" t="s">
        <v>129</v>
      </c>
    </row>
    <row r="62" spans="1:4" x14ac:dyDescent="0.25">
      <c r="A62" t="s">
        <v>130</v>
      </c>
      <c r="B62" t="s">
        <v>17</v>
      </c>
      <c r="C62" t="s">
        <v>131</v>
      </c>
    </row>
    <row r="63" spans="1:4" x14ac:dyDescent="0.25">
      <c r="A63" t="s">
        <v>132</v>
      </c>
    </row>
    <row r="64" spans="1:4" x14ac:dyDescent="0.25">
      <c r="A64" t="s">
        <v>133</v>
      </c>
      <c r="B64" t="s">
        <v>134</v>
      </c>
    </row>
    <row r="65" spans="1:4" x14ac:dyDescent="0.25">
      <c r="A65" t="s">
        <v>135</v>
      </c>
      <c r="B65" t="s">
        <v>14</v>
      </c>
      <c r="C65" t="s">
        <v>136</v>
      </c>
      <c r="D65" t="s">
        <v>137</v>
      </c>
    </row>
    <row r="66" spans="1:4" x14ac:dyDescent="0.25">
      <c r="A66" t="s">
        <v>138</v>
      </c>
      <c r="B66" t="s">
        <v>73</v>
      </c>
      <c r="C66" t="s">
        <v>139</v>
      </c>
    </row>
    <row r="67" spans="1:4" x14ac:dyDescent="0.25">
      <c r="A67" t="s">
        <v>140</v>
      </c>
      <c r="B67" t="s">
        <v>141</v>
      </c>
      <c r="C67" t="s">
        <v>142</v>
      </c>
      <c r="D67" t="s">
        <v>143</v>
      </c>
    </row>
    <row r="68" spans="1:4" x14ac:dyDescent="0.25">
      <c r="A68" t="s">
        <v>144</v>
      </c>
      <c r="B68" t="s">
        <v>145</v>
      </c>
    </row>
    <row r="69" spans="1:4" x14ac:dyDescent="0.25">
      <c r="A69" t="s">
        <v>146</v>
      </c>
      <c r="B69" t="s">
        <v>14</v>
      </c>
      <c r="C69" t="s">
        <v>147</v>
      </c>
    </row>
    <row r="70" spans="1:4" x14ac:dyDescent="0.25">
      <c r="A70" t="s">
        <v>148</v>
      </c>
      <c r="B70" t="s">
        <v>149</v>
      </c>
    </row>
    <row r="71" spans="1:4" x14ac:dyDescent="0.25">
      <c r="A71" t="s">
        <v>150</v>
      </c>
      <c r="B71" t="s">
        <v>17</v>
      </c>
      <c r="C71" t="s">
        <v>151</v>
      </c>
    </row>
    <row r="72" spans="1:4" x14ac:dyDescent="0.25">
      <c r="A72" t="s">
        <v>152</v>
      </c>
      <c r="B72" t="s">
        <v>153</v>
      </c>
      <c r="C72" t="s">
        <v>154</v>
      </c>
    </row>
    <row r="73" spans="1:4" x14ac:dyDescent="0.25">
      <c r="A73" t="s">
        <v>155</v>
      </c>
      <c r="B73" t="s">
        <v>17</v>
      </c>
      <c r="C73" t="s">
        <v>156</v>
      </c>
    </row>
    <row r="74" spans="1:4" x14ac:dyDescent="0.25">
      <c r="A74" t="s">
        <v>157</v>
      </c>
    </row>
    <row r="75" spans="1:4" x14ac:dyDescent="0.25">
      <c r="A75" t="s">
        <v>158</v>
      </c>
      <c r="B75" t="s">
        <v>17</v>
      </c>
      <c r="C75" t="s">
        <v>159</v>
      </c>
    </row>
    <row r="76" spans="1:4" x14ac:dyDescent="0.25">
      <c r="A76" t="s">
        <v>160</v>
      </c>
      <c r="B76" t="s">
        <v>14</v>
      </c>
      <c r="C76" t="s">
        <v>161</v>
      </c>
    </row>
    <row r="77" spans="1:4" x14ac:dyDescent="0.25">
      <c r="A77" t="s">
        <v>162</v>
      </c>
      <c r="B77" t="s">
        <v>17</v>
      </c>
      <c r="C77" t="s">
        <v>163</v>
      </c>
    </row>
    <row r="78" spans="1:4" x14ac:dyDescent="0.25">
      <c r="A78" t="s">
        <v>164</v>
      </c>
      <c r="B78" t="s">
        <v>100</v>
      </c>
      <c r="C78" t="s">
        <v>165</v>
      </c>
    </row>
    <row r="79" spans="1:4" x14ac:dyDescent="0.25">
      <c r="A79" t="s">
        <v>166</v>
      </c>
      <c r="B79" t="s">
        <v>14</v>
      </c>
      <c r="C79" t="s">
        <v>167</v>
      </c>
    </row>
    <row r="80" spans="1:4" x14ac:dyDescent="0.25">
      <c r="A80" t="s">
        <v>168</v>
      </c>
      <c r="B80" t="s">
        <v>169</v>
      </c>
    </row>
    <row r="81" spans="1:3" x14ac:dyDescent="0.25">
      <c r="A81" t="s">
        <v>170</v>
      </c>
      <c r="B81" t="s">
        <v>171</v>
      </c>
    </row>
    <row r="82" spans="1:3" x14ac:dyDescent="0.25">
      <c r="A82" t="s">
        <v>172</v>
      </c>
    </row>
    <row r="83" spans="1:3" x14ac:dyDescent="0.25">
      <c r="A83" t="s">
        <v>173</v>
      </c>
      <c r="B83" t="s">
        <v>17</v>
      </c>
      <c r="C83" t="s">
        <v>174</v>
      </c>
    </row>
    <row r="84" spans="1:3" x14ac:dyDescent="0.25">
      <c r="A84" t="s">
        <v>175</v>
      </c>
      <c r="B84" t="s">
        <v>14</v>
      </c>
      <c r="C84" t="s">
        <v>176</v>
      </c>
    </row>
    <row r="85" spans="1:3" x14ac:dyDescent="0.25">
      <c r="A85" t="s">
        <v>177</v>
      </c>
      <c r="B85" t="s">
        <v>178</v>
      </c>
    </row>
    <row r="86" spans="1:3" x14ac:dyDescent="0.25">
      <c r="A86" t="s">
        <v>179</v>
      </c>
      <c r="B86" t="s">
        <v>180</v>
      </c>
    </row>
    <row r="87" spans="1:3" x14ac:dyDescent="0.25">
      <c r="A87" t="s">
        <v>181</v>
      </c>
      <c r="B87" t="s">
        <v>182</v>
      </c>
    </row>
    <row r="88" spans="1:3" x14ac:dyDescent="0.25">
      <c r="A88" t="s">
        <v>183</v>
      </c>
      <c r="B88" t="s">
        <v>184</v>
      </c>
    </row>
    <row r="89" spans="1:3" x14ac:dyDescent="0.25">
      <c r="A89" t="s">
        <v>185</v>
      </c>
      <c r="B89" t="s">
        <v>14</v>
      </c>
      <c r="C89" t="s">
        <v>186</v>
      </c>
    </row>
    <row r="90" spans="1:3" x14ac:dyDescent="0.25">
      <c r="A90" t="s">
        <v>187</v>
      </c>
      <c r="B90" t="s">
        <v>188</v>
      </c>
    </row>
    <row r="91" spans="1:3" x14ac:dyDescent="0.25">
      <c r="A91" t="s">
        <v>189</v>
      </c>
      <c r="B91" t="s">
        <v>190</v>
      </c>
    </row>
    <row r="92" spans="1:3" x14ac:dyDescent="0.25">
      <c r="A92" t="s">
        <v>191</v>
      </c>
      <c r="B92" t="s">
        <v>192</v>
      </c>
    </row>
    <row r="93" spans="1:3" x14ac:dyDescent="0.25">
      <c r="A93" t="s">
        <v>193</v>
      </c>
      <c r="B93" t="s">
        <v>17</v>
      </c>
      <c r="C93" t="s">
        <v>194</v>
      </c>
    </row>
    <row r="94" spans="1:3" x14ac:dyDescent="0.25">
      <c r="A94" t="s">
        <v>195</v>
      </c>
      <c r="B94" t="s">
        <v>100</v>
      </c>
      <c r="C94" t="s">
        <v>196</v>
      </c>
    </row>
    <row r="95" spans="1:3" x14ac:dyDescent="0.25">
      <c r="A95" t="s">
        <v>197</v>
      </c>
      <c r="B95" t="s">
        <v>73</v>
      </c>
      <c r="C95" t="s">
        <v>198</v>
      </c>
    </row>
    <row r="96" spans="1:3" x14ac:dyDescent="0.25">
      <c r="A96" t="s">
        <v>199</v>
      </c>
    </row>
    <row r="97" spans="1:3" x14ac:dyDescent="0.25">
      <c r="A97" t="s">
        <v>200</v>
      </c>
      <c r="B97" t="s">
        <v>201</v>
      </c>
      <c r="C97" t="s">
        <v>202</v>
      </c>
    </row>
    <row r="98" spans="1:3" x14ac:dyDescent="0.25">
      <c r="A98" t="s">
        <v>203</v>
      </c>
      <c r="B98" t="s">
        <v>5</v>
      </c>
      <c r="C98" t="s">
        <v>204</v>
      </c>
    </row>
    <row r="99" spans="1:3" x14ac:dyDescent="0.25">
      <c r="A99" t="s">
        <v>205</v>
      </c>
      <c r="B99" t="s">
        <v>17</v>
      </c>
      <c r="C99" t="s">
        <v>206</v>
      </c>
    </row>
    <row r="100" spans="1:3" x14ac:dyDescent="0.25">
      <c r="A100" t="s">
        <v>207</v>
      </c>
    </row>
    <row r="101" spans="1:3" x14ac:dyDescent="0.25">
      <c r="A101" t="s">
        <v>208</v>
      </c>
    </row>
    <row r="102" spans="1:3" x14ac:dyDescent="0.25">
      <c r="A102" t="s">
        <v>209</v>
      </c>
      <c r="B102" t="s">
        <v>210</v>
      </c>
      <c r="C102" t="s">
        <v>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8"/>
  <sheetViews>
    <sheetView tabSelected="1" zoomScale="85" zoomScaleNormal="85" workbookViewId="0">
      <selection activeCell="B14" sqref="B14"/>
    </sheetView>
  </sheetViews>
  <sheetFormatPr defaultRowHeight="15" x14ac:dyDescent="0.25"/>
  <cols>
    <col min="1" max="1" width="14.140625" customWidth="1"/>
    <col min="2" max="2" width="64.85546875" style="7" bestFit="1" customWidth="1"/>
    <col min="3" max="3" width="15.85546875" style="2" bestFit="1" customWidth="1"/>
    <col min="4" max="4" width="11.42578125" bestFit="1" customWidth="1"/>
    <col min="5" max="5" width="10.42578125" style="8" customWidth="1"/>
    <col min="6" max="6" width="14.28515625" bestFit="1" customWidth="1"/>
    <col min="7" max="7" width="15.42578125" customWidth="1"/>
    <col min="8" max="8" width="35.85546875" bestFit="1" customWidth="1"/>
    <col min="9" max="9" width="16" style="4" bestFit="1" customWidth="1"/>
    <col min="10" max="10" width="11.42578125" style="5" bestFit="1" customWidth="1"/>
    <col min="11" max="11" width="7.7109375" style="6" customWidth="1"/>
    <col min="14" max="14" width="15.140625" bestFit="1" customWidth="1"/>
  </cols>
  <sheetData>
    <row r="1" spans="1:14" x14ac:dyDescent="0.25">
      <c r="A1" t="s">
        <v>212</v>
      </c>
      <c r="B1" s="7" t="s">
        <v>444</v>
      </c>
      <c r="C1" s="2" t="s">
        <v>213</v>
      </c>
      <c r="D1" t="s">
        <v>445</v>
      </c>
      <c r="E1" s="8" t="s">
        <v>214</v>
      </c>
      <c r="F1" t="s">
        <v>215</v>
      </c>
      <c r="G1" t="s">
        <v>216</v>
      </c>
      <c r="H1" t="s">
        <v>217</v>
      </c>
      <c r="I1" s="4" t="s">
        <v>218</v>
      </c>
      <c r="J1" s="5" t="s">
        <v>219</v>
      </c>
      <c r="K1" s="6" t="s">
        <v>220</v>
      </c>
    </row>
    <row r="2" spans="1:14" x14ac:dyDescent="0.25">
      <c r="A2" t="s">
        <v>221</v>
      </c>
      <c r="B2" s="7" t="s">
        <v>222</v>
      </c>
      <c r="C2" s="2">
        <v>34740</v>
      </c>
      <c r="D2" t="s">
        <v>223</v>
      </c>
      <c r="E2" s="8">
        <v>9.8611111111111108E-2</v>
      </c>
      <c r="F2" t="s">
        <v>224</v>
      </c>
      <c r="G2" t="s">
        <v>225</v>
      </c>
      <c r="H2" t="s">
        <v>226</v>
      </c>
      <c r="I2" s="4">
        <v>28815245</v>
      </c>
      <c r="J2" s="5">
        <v>2278845</v>
      </c>
      <c r="K2" s="6">
        <v>9.3000000000000007</v>
      </c>
    </row>
    <row r="3" spans="1:14" x14ac:dyDescent="0.25">
      <c r="A3" t="s">
        <v>227</v>
      </c>
      <c r="B3" s="7" t="s">
        <v>228</v>
      </c>
      <c r="C3" s="2">
        <v>26563</v>
      </c>
      <c r="D3" t="s">
        <v>229</v>
      </c>
      <c r="E3" s="8">
        <v>0.12152777777777778</v>
      </c>
      <c r="F3" t="s">
        <v>224</v>
      </c>
      <c r="G3" t="s">
        <v>225</v>
      </c>
      <c r="H3" t="s">
        <v>447</v>
      </c>
      <c r="I3" s="4">
        <v>250935560</v>
      </c>
      <c r="J3" s="5">
        <v>2243974</v>
      </c>
      <c r="K3" s="6">
        <f t="shared" ref="K3:K10" si="0">K2+($K$11-$K$2)/9</f>
        <v>9.2444444444444454</v>
      </c>
      <c r="M3" s="5"/>
    </row>
    <row r="4" spans="1:14" x14ac:dyDescent="0.25">
      <c r="A4" t="s">
        <v>230</v>
      </c>
      <c r="B4" s="7" t="s">
        <v>231</v>
      </c>
      <c r="C4" s="2">
        <v>39652</v>
      </c>
      <c r="D4" t="s">
        <v>232</v>
      </c>
      <c r="E4" s="8">
        <v>0.10555555555555556</v>
      </c>
      <c r="F4" t="s">
        <v>224</v>
      </c>
      <c r="G4" t="s">
        <v>328</v>
      </c>
      <c r="H4" t="s">
        <v>446</v>
      </c>
      <c r="I4" s="4">
        <v>1008480529</v>
      </c>
      <c r="J4" s="11">
        <v>3209279</v>
      </c>
      <c r="K4" s="6">
        <f t="shared" si="0"/>
        <v>9.18888888888889</v>
      </c>
    </row>
    <row r="5" spans="1:14" x14ac:dyDescent="0.25">
      <c r="A5" t="s">
        <v>233</v>
      </c>
      <c r="B5" s="7" t="s">
        <v>234</v>
      </c>
      <c r="C5" s="2">
        <v>27662</v>
      </c>
      <c r="D5" t="s">
        <v>229</v>
      </c>
      <c r="E5" s="8">
        <v>0.14027777777777778</v>
      </c>
      <c r="F5" t="s">
        <v>224</v>
      </c>
      <c r="G5" t="s">
        <v>225</v>
      </c>
      <c r="H5" t="s">
        <v>447</v>
      </c>
      <c r="I5" s="4">
        <v>48211703</v>
      </c>
      <c r="J5" s="5">
        <v>1500825</v>
      </c>
      <c r="K5" s="6">
        <f t="shared" si="0"/>
        <v>9.1333333333333346</v>
      </c>
    </row>
    <row r="6" spans="1:14" x14ac:dyDescent="0.25">
      <c r="A6" t="s">
        <v>235</v>
      </c>
      <c r="B6" s="7" t="s">
        <v>236</v>
      </c>
      <c r="C6" s="2">
        <v>34635</v>
      </c>
      <c r="D6" t="s">
        <v>229</v>
      </c>
      <c r="E6" s="8">
        <v>0.10694444444444444</v>
      </c>
      <c r="F6" t="s">
        <v>224</v>
      </c>
      <c r="G6" t="s">
        <v>225</v>
      </c>
      <c r="H6" t="s">
        <v>448</v>
      </c>
      <c r="I6" s="4">
        <v>213928762</v>
      </c>
      <c r="J6" s="5">
        <v>2447946</v>
      </c>
      <c r="K6" s="6">
        <f t="shared" si="0"/>
        <v>9.0777777777777793</v>
      </c>
      <c r="N6" s="3"/>
    </row>
    <row r="7" spans="1:14" x14ac:dyDescent="0.25">
      <c r="A7" t="s">
        <v>237</v>
      </c>
      <c r="B7" s="7" t="s">
        <v>238</v>
      </c>
      <c r="C7" s="2">
        <v>38039</v>
      </c>
      <c r="D7" t="s">
        <v>232</v>
      </c>
      <c r="E7" s="8">
        <v>0.13958333333333334</v>
      </c>
      <c r="F7" t="s">
        <v>507</v>
      </c>
      <c r="G7" t="s">
        <v>328</v>
      </c>
      <c r="H7" t="s">
        <v>449</v>
      </c>
      <c r="I7" s="4">
        <v>1138063541</v>
      </c>
      <c r="J7" s="5">
        <v>2178953</v>
      </c>
      <c r="K7" s="6">
        <f t="shared" si="0"/>
        <v>9.0222222222222239</v>
      </c>
    </row>
    <row r="8" spans="1:14" x14ac:dyDescent="0.25">
      <c r="A8" t="s">
        <v>239</v>
      </c>
      <c r="B8" s="7" t="s">
        <v>240</v>
      </c>
      <c r="C8" s="2">
        <v>34404</v>
      </c>
      <c r="D8" t="s">
        <v>241</v>
      </c>
      <c r="E8" s="8">
        <v>0.1361111111111111</v>
      </c>
      <c r="F8" t="s">
        <v>224</v>
      </c>
      <c r="G8" t="s">
        <v>225</v>
      </c>
      <c r="H8" t="s">
        <v>450</v>
      </c>
      <c r="I8" s="4">
        <v>322161245</v>
      </c>
      <c r="J8" s="5">
        <v>1537016</v>
      </c>
      <c r="K8" s="6">
        <f t="shared" si="0"/>
        <v>8.9666666666666686</v>
      </c>
    </row>
    <row r="9" spans="1:14" x14ac:dyDescent="0.25">
      <c r="A9" t="s">
        <v>242</v>
      </c>
      <c r="B9" s="7" t="s">
        <v>243</v>
      </c>
      <c r="C9" s="2">
        <v>21067</v>
      </c>
      <c r="D9" t="s">
        <v>229</v>
      </c>
      <c r="E9" s="8">
        <v>6.6666666666666666E-2</v>
      </c>
      <c r="F9" t="s">
        <v>224</v>
      </c>
      <c r="G9" t="s">
        <v>361</v>
      </c>
      <c r="H9" t="s">
        <v>451</v>
      </c>
      <c r="I9" s="10">
        <v>15647</v>
      </c>
      <c r="J9" s="5">
        <v>948005</v>
      </c>
      <c r="K9" s="6">
        <f t="shared" si="0"/>
        <v>8.9111111111111132</v>
      </c>
      <c r="N9" s="3"/>
    </row>
    <row r="10" spans="1:14" x14ac:dyDescent="0.25">
      <c r="A10" t="s">
        <v>244</v>
      </c>
      <c r="B10" s="7" t="s">
        <v>245</v>
      </c>
      <c r="C10" s="2">
        <v>40445</v>
      </c>
      <c r="D10" t="s">
        <v>232</v>
      </c>
      <c r="E10" s="8">
        <v>0.10277777777777779</v>
      </c>
      <c r="F10" t="s">
        <v>248</v>
      </c>
      <c r="G10" t="s">
        <v>328</v>
      </c>
      <c r="H10" t="s">
        <v>446</v>
      </c>
      <c r="I10" s="4">
        <v>839796627</v>
      </c>
      <c r="J10" s="5">
        <v>2829519</v>
      </c>
      <c r="K10" s="6">
        <f t="shared" si="0"/>
        <v>8.8555555555555578</v>
      </c>
      <c r="M10" s="5"/>
    </row>
    <row r="11" spans="1:14" x14ac:dyDescent="0.25">
      <c r="A11" t="s">
        <v>246</v>
      </c>
      <c r="B11" s="7" t="s">
        <v>247</v>
      </c>
      <c r="C11" s="2">
        <v>36462</v>
      </c>
      <c r="D11" t="s">
        <v>223</v>
      </c>
      <c r="E11" s="8">
        <v>9.6527777777777768E-2</v>
      </c>
      <c r="F11" t="s">
        <v>248</v>
      </c>
      <c r="G11" t="s">
        <v>225</v>
      </c>
      <c r="H11" t="s">
        <v>249</v>
      </c>
      <c r="I11" s="4">
        <v>101218804</v>
      </c>
      <c r="J11" s="5">
        <v>1807440</v>
      </c>
      <c r="K11" s="6">
        <v>8.8000000000000007</v>
      </c>
    </row>
    <row r="12" spans="1:14" x14ac:dyDescent="0.25">
      <c r="A12" t="s">
        <v>250</v>
      </c>
      <c r="B12" s="7" t="s">
        <v>251</v>
      </c>
      <c r="C12" s="2">
        <v>34613</v>
      </c>
      <c r="D12" t="s">
        <v>223</v>
      </c>
      <c r="E12" s="8">
        <v>9.8611111111111108E-2</v>
      </c>
      <c r="F12" t="s">
        <v>224</v>
      </c>
      <c r="G12" t="s">
        <v>328</v>
      </c>
      <c r="H12" t="s">
        <v>452</v>
      </c>
      <c r="I12" s="4">
        <v>678226465</v>
      </c>
      <c r="J12" s="5">
        <v>2516524</v>
      </c>
      <c r="K12" s="6">
        <f t="shared" ref="K12:K18" si="1">K11+($K$19-$K$11)/8</f>
        <v>8.7875000000000014</v>
      </c>
    </row>
    <row r="13" spans="1:14" x14ac:dyDescent="0.25">
      <c r="A13" t="s">
        <v>252</v>
      </c>
      <c r="B13" s="7" t="s">
        <v>253</v>
      </c>
      <c r="C13" s="2">
        <v>37274</v>
      </c>
      <c r="D13" t="s">
        <v>232</v>
      </c>
      <c r="E13" s="8">
        <v>0.12361111111111112</v>
      </c>
      <c r="F13" t="s">
        <v>507</v>
      </c>
      <c r="G13" t="s">
        <v>328</v>
      </c>
      <c r="H13" t="s">
        <v>449</v>
      </c>
      <c r="I13" s="4">
        <v>897538741</v>
      </c>
      <c r="J13" s="5">
        <v>2227094</v>
      </c>
      <c r="K13" s="6">
        <f t="shared" si="1"/>
        <v>8.7750000000000021</v>
      </c>
    </row>
    <row r="14" spans="1:14" x14ac:dyDescent="0.25">
      <c r="A14" t="s">
        <v>254</v>
      </c>
      <c r="B14" s="7" t="s">
        <v>255</v>
      </c>
      <c r="C14" s="2">
        <v>24464</v>
      </c>
      <c r="D14" t="s">
        <v>232</v>
      </c>
      <c r="E14" s="8">
        <v>0.10277777777777779</v>
      </c>
      <c r="F14" t="s">
        <v>327</v>
      </c>
      <c r="G14" t="s">
        <v>225</v>
      </c>
      <c r="H14" t="s">
        <v>453</v>
      </c>
      <c r="I14" s="4">
        <v>25283525</v>
      </c>
      <c r="J14" s="5">
        <v>895373</v>
      </c>
      <c r="K14" s="6">
        <f t="shared" si="1"/>
        <v>8.7625000000000028</v>
      </c>
    </row>
    <row r="15" spans="1:14" x14ac:dyDescent="0.25">
      <c r="A15" t="s">
        <v>256</v>
      </c>
      <c r="B15" s="7" t="s">
        <v>257</v>
      </c>
      <c r="C15" s="2">
        <v>36287</v>
      </c>
      <c r="D15" t="s">
        <v>232</v>
      </c>
      <c r="E15" s="8">
        <v>9.4444444444444442E-2</v>
      </c>
      <c r="F15" t="s">
        <v>224</v>
      </c>
      <c r="G15" t="s">
        <v>225</v>
      </c>
      <c r="H15" t="s">
        <v>512</v>
      </c>
      <c r="I15" s="4">
        <v>473333509</v>
      </c>
      <c r="J15" s="5">
        <v>2268376</v>
      </c>
      <c r="K15" s="6">
        <f t="shared" si="1"/>
        <v>8.7500000000000036</v>
      </c>
    </row>
    <row r="16" spans="1:14" x14ac:dyDescent="0.25">
      <c r="A16" t="s">
        <v>258</v>
      </c>
      <c r="B16" s="7" t="s">
        <v>259</v>
      </c>
      <c r="C16" s="2">
        <v>37637</v>
      </c>
      <c r="D16" t="s">
        <v>232</v>
      </c>
      <c r="E16" s="8">
        <v>0.12430555555555556</v>
      </c>
      <c r="F16" t="s">
        <v>224</v>
      </c>
      <c r="G16" t="s">
        <v>328</v>
      </c>
      <c r="H16" t="s">
        <v>449</v>
      </c>
      <c r="I16" s="4">
        <v>945184312</v>
      </c>
      <c r="J16" s="5">
        <v>1972345</v>
      </c>
      <c r="K16" s="6">
        <f t="shared" si="1"/>
        <v>8.7375000000000043</v>
      </c>
    </row>
    <row r="17" spans="1:11" x14ac:dyDescent="0.25">
      <c r="A17" t="s">
        <v>260</v>
      </c>
      <c r="B17" s="7" t="s">
        <v>261</v>
      </c>
      <c r="C17" s="2">
        <v>29483</v>
      </c>
      <c r="D17" s="1" t="s">
        <v>232</v>
      </c>
      <c r="E17" s="8">
        <v>8.6111111111111124E-2</v>
      </c>
      <c r="F17" t="s">
        <v>224</v>
      </c>
      <c r="G17" t="s">
        <v>361</v>
      </c>
      <c r="H17" t="s">
        <v>454</v>
      </c>
      <c r="I17" s="4">
        <v>550016086</v>
      </c>
      <c r="J17" s="5">
        <v>1514575</v>
      </c>
      <c r="K17" s="6">
        <f t="shared" si="1"/>
        <v>8.725000000000005</v>
      </c>
    </row>
    <row r="18" spans="1:11" x14ac:dyDescent="0.25">
      <c r="A18" t="s">
        <v>262</v>
      </c>
      <c r="B18" s="7" t="s">
        <v>263</v>
      </c>
      <c r="C18" s="2">
        <v>33136</v>
      </c>
      <c r="D18" t="s">
        <v>241</v>
      </c>
      <c r="E18" s="8">
        <v>0.10069444444444443</v>
      </c>
      <c r="F18" t="s">
        <v>224</v>
      </c>
      <c r="G18" t="s">
        <v>225</v>
      </c>
      <c r="H18" t="s">
        <v>455</v>
      </c>
      <c r="I18" s="4">
        <v>47293367</v>
      </c>
      <c r="J18" s="5">
        <v>1394782</v>
      </c>
      <c r="K18" s="6">
        <f t="shared" si="1"/>
        <v>8.7125000000000057</v>
      </c>
    </row>
    <row r="19" spans="1:11" x14ac:dyDescent="0.25">
      <c r="A19" t="s">
        <v>264</v>
      </c>
      <c r="B19" s="7" t="s">
        <v>265</v>
      </c>
      <c r="C19" s="2">
        <v>28082</v>
      </c>
      <c r="D19" t="s">
        <v>223</v>
      </c>
      <c r="E19" s="8">
        <v>9.2361111111111116E-2</v>
      </c>
      <c r="F19" t="s">
        <v>224</v>
      </c>
      <c r="G19" t="s">
        <v>225</v>
      </c>
      <c r="H19" t="s">
        <v>266</v>
      </c>
      <c r="I19" s="4">
        <v>108997629</v>
      </c>
      <c r="J19" s="5">
        <v>891071</v>
      </c>
      <c r="K19" s="6">
        <v>8.6999999999999993</v>
      </c>
    </row>
    <row r="20" spans="1:11" x14ac:dyDescent="0.25">
      <c r="A20" t="s">
        <v>267</v>
      </c>
      <c r="B20" s="7" t="s">
        <v>268</v>
      </c>
      <c r="C20" s="2">
        <v>41949</v>
      </c>
      <c r="D20" t="s">
        <v>269</v>
      </c>
      <c r="E20" s="8">
        <v>0.1173611111111111</v>
      </c>
      <c r="F20" t="s">
        <v>224</v>
      </c>
      <c r="G20" t="s">
        <v>328</v>
      </c>
      <c r="H20" t="s">
        <v>446</v>
      </c>
      <c r="I20" s="4">
        <v>758614115</v>
      </c>
      <c r="J20" s="5">
        <v>2410398</v>
      </c>
      <c r="K20" s="6">
        <f t="shared" ref="K20:K35" si="2">K19+($K$36-$K$19)/17</f>
        <v>8.6882352941176464</v>
      </c>
    </row>
    <row r="21" spans="1:11" x14ac:dyDescent="0.25">
      <c r="A21" t="s">
        <v>270</v>
      </c>
      <c r="B21" s="7" t="s">
        <v>271</v>
      </c>
      <c r="C21" s="2">
        <v>35048</v>
      </c>
      <c r="D21" t="s">
        <v>229</v>
      </c>
      <c r="E21" s="8">
        <v>8.819444444444445E-2</v>
      </c>
      <c r="F21" t="s">
        <v>224</v>
      </c>
      <c r="G21" t="s">
        <v>225</v>
      </c>
      <c r="H21" t="s">
        <v>249</v>
      </c>
      <c r="I21" s="4">
        <v>327333559</v>
      </c>
      <c r="J21" s="5">
        <v>1952859</v>
      </c>
      <c r="K21" s="6">
        <f t="shared" si="2"/>
        <v>8.6764705882352935</v>
      </c>
    </row>
    <row r="22" spans="1:11" x14ac:dyDescent="0.25">
      <c r="A22" t="s">
        <v>272</v>
      </c>
      <c r="B22" s="7" t="s">
        <v>273</v>
      </c>
      <c r="C22" s="2">
        <v>33302</v>
      </c>
      <c r="D22" t="s">
        <v>229</v>
      </c>
      <c r="E22" s="8">
        <v>8.1944444444444445E-2</v>
      </c>
      <c r="F22" t="s">
        <v>224</v>
      </c>
      <c r="G22" t="s">
        <v>225</v>
      </c>
      <c r="H22" t="s">
        <v>456</v>
      </c>
      <c r="I22" s="4">
        <v>272742922</v>
      </c>
      <c r="J22" s="5">
        <v>1664838</v>
      </c>
      <c r="K22" s="6">
        <f t="shared" si="2"/>
        <v>8.6647058823529406</v>
      </c>
    </row>
    <row r="23" spans="1:11" x14ac:dyDescent="0.25">
      <c r="A23" t="s">
        <v>274</v>
      </c>
      <c r="B23" s="7" t="s">
        <v>275</v>
      </c>
      <c r="C23" s="2">
        <v>28418</v>
      </c>
      <c r="D23" t="s">
        <v>232</v>
      </c>
      <c r="E23" s="8">
        <v>8.4027777777777771E-2</v>
      </c>
      <c r="F23" t="s">
        <v>224</v>
      </c>
      <c r="G23" t="s">
        <v>361</v>
      </c>
      <c r="H23" t="s">
        <v>457</v>
      </c>
      <c r="I23" s="4">
        <v>775398507</v>
      </c>
      <c r="J23" s="5">
        <v>1533163</v>
      </c>
      <c r="K23" s="6">
        <f t="shared" si="2"/>
        <v>8.6529411764705877</v>
      </c>
    </row>
    <row r="24" spans="1:11" x14ac:dyDescent="0.25">
      <c r="A24" t="s">
        <v>276</v>
      </c>
      <c r="B24" s="7" t="s">
        <v>277</v>
      </c>
      <c r="C24" s="2">
        <v>36098</v>
      </c>
      <c r="D24" t="s">
        <v>223</v>
      </c>
      <c r="E24" s="8">
        <v>0.1173611111111111</v>
      </c>
      <c r="F24" t="s">
        <v>224</v>
      </c>
      <c r="G24" t="s">
        <v>225</v>
      </c>
      <c r="H24" t="s">
        <v>450</v>
      </c>
      <c r="I24" s="4">
        <v>482352390</v>
      </c>
      <c r="J24" s="5">
        <v>1594812</v>
      </c>
      <c r="K24" s="6">
        <f t="shared" si="2"/>
        <v>8.6411764705882348</v>
      </c>
    </row>
    <row r="25" spans="1:11" x14ac:dyDescent="0.25">
      <c r="A25" t="s">
        <v>278</v>
      </c>
      <c r="B25" s="7" t="s">
        <v>279</v>
      </c>
      <c r="C25" s="2">
        <v>36802</v>
      </c>
      <c r="D25" t="s">
        <v>229</v>
      </c>
      <c r="E25" s="8">
        <v>0.13125000000000001</v>
      </c>
      <c r="F25" t="s">
        <v>224</v>
      </c>
      <c r="G25" t="s">
        <v>225</v>
      </c>
      <c r="H25" t="s">
        <v>226</v>
      </c>
      <c r="I25" s="4">
        <v>286801374</v>
      </c>
      <c r="J25" s="5">
        <v>1513300</v>
      </c>
      <c r="K25" s="6">
        <f t="shared" si="2"/>
        <v>8.6294117647058819</v>
      </c>
    </row>
    <row r="26" spans="1:11" x14ac:dyDescent="0.25">
      <c r="A26" t="s">
        <v>280</v>
      </c>
      <c r="B26" s="7" t="s">
        <v>281</v>
      </c>
      <c r="C26" s="2">
        <v>37750</v>
      </c>
      <c r="D26" t="s">
        <v>229</v>
      </c>
      <c r="E26" s="8">
        <v>9.0277777777777776E-2</v>
      </c>
      <c r="F26" t="s">
        <v>458</v>
      </c>
      <c r="G26" t="s">
        <v>225</v>
      </c>
      <c r="H26" t="s">
        <v>459</v>
      </c>
      <c r="I26" s="4">
        <v>30685656</v>
      </c>
      <c r="J26" s="5">
        <v>850027</v>
      </c>
      <c r="K26" s="6">
        <f t="shared" si="2"/>
        <v>8.617647058823529</v>
      </c>
    </row>
    <row r="27" spans="1:11" x14ac:dyDescent="0.25">
      <c r="A27" t="s">
        <v>282</v>
      </c>
      <c r="B27" s="7" t="s">
        <v>283</v>
      </c>
      <c r="C27" s="2">
        <v>37729</v>
      </c>
      <c r="D27" t="s">
        <v>284</v>
      </c>
      <c r="E27" s="8">
        <v>8.6805555555555566E-2</v>
      </c>
      <c r="F27" t="s">
        <v>460</v>
      </c>
      <c r="G27" t="s">
        <v>361</v>
      </c>
      <c r="H27" t="s">
        <v>461</v>
      </c>
      <c r="I27" s="4">
        <v>360180123</v>
      </c>
      <c r="J27" s="5">
        <v>931953</v>
      </c>
      <c r="K27" s="6">
        <f t="shared" si="2"/>
        <v>8.6058823529411761</v>
      </c>
    </row>
    <row r="28" spans="1:11" x14ac:dyDescent="0.25">
      <c r="A28" t="s">
        <v>285</v>
      </c>
      <c r="B28" s="7" t="s">
        <v>508</v>
      </c>
      <c r="C28" s="2">
        <v>35784</v>
      </c>
      <c r="D28" t="s">
        <v>286</v>
      </c>
      <c r="E28" s="8">
        <v>8.0555555555555561E-2</v>
      </c>
      <c r="F28" t="s">
        <v>327</v>
      </c>
      <c r="G28" t="s">
        <v>328</v>
      </c>
      <c r="H28" t="s">
        <v>462</v>
      </c>
      <c r="I28" s="4">
        <v>230099013</v>
      </c>
      <c r="J28" s="5">
        <v>790802</v>
      </c>
      <c r="K28" s="6">
        <f t="shared" si="2"/>
        <v>8.5941176470588232</v>
      </c>
    </row>
    <row r="29" spans="1:11" x14ac:dyDescent="0.25">
      <c r="A29" t="s">
        <v>287</v>
      </c>
      <c r="B29" s="7" t="s">
        <v>288</v>
      </c>
      <c r="C29" s="2">
        <v>43776</v>
      </c>
      <c r="D29" t="s">
        <v>286</v>
      </c>
      <c r="E29" s="8">
        <v>9.1666666666666674E-2</v>
      </c>
      <c r="F29" t="s">
        <v>463</v>
      </c>
      <c r="G29" t="s">
        <v>225</v>
      </c>
      <c r="H29" t="s">
        <v>464</v>
      </c>
      <c r="I29" s="4">
        <v>262617321</v>
      </c>
      <c r="J29" s="5">
        <v>1102426</v>
      </c>
      <c r="K29" s="6">
        <f t="shared" si="2"/>
        <v>8.5823529411764703</v>
      </c>
    </row>
    <row r="30" spans="1:11" x14ac:dyDescent="0.25">
      <c r="A30" t="s">
        <v>289</v>
      </c>
      <c r="B30" s="7" t="s">
        <v>290</v>
      </c>
      <c r="C30" s="2">
        <v>17603</v>
      </c>
      <c r="D30" t="s">
        <v>223</v>
      </c>
      <c r="E30" s="8">
        <v>8.9583333333333334E-2</v>
      </c>
      <c r="F30" t="s">
        <v>224</v>
      </c>
      <c r="G30" t="s">
        <v>361</v>
      </c>
      <c r="H30" t="s">
        <v>465</v>
      </c>
      <c r="I30" s="4">
        <v>11496793</v>
      </c>
      <c r="J30" s="5">
        <v>534834</v>
      </c>
      <c r="K30" s="6">
        <f t="shared" si="2"/>
        <v>8.5705882352941174</v>
      </c>
    </row>
    <row r="31" spans="1:11" x14ac:dyDescent="0.25">
      <c r="A31" t="s">
        <v>291</v>
      </c>
      <c r="B31" s="7" t="s">
        <v>292</v>
      </c>
      <c r="C31" s="2">
        <v>20320</v>
      </c>
      <c r="D31" t="s">
        <v>232</v>
      </c>
      <c r="E31" s="8">
        <v>0.14375000000000002</v>
      </c>
      <c r="F31" t="s">
        <v>460</v>
      </c>
      <c r="G31" t="s">
        <v>328</v>
      </c>
      <c r="H31" t="s">
        <v>466</v>
      </c>
      <c r="I31" s="4">
        <v>1092104</v>
      </c>
      <c r="J31" s="5">
        <v>390932</v>
      </c>
      <c r="K31" s="6">
        <f t="shared" si="2"/>
        <v>8.5588235294117645</v>
      </c>
    </row>
    <row r="32" spans="1:11" x14ac:dyDescent="0.25">
      <c r="A32" t="s">
        <v>293</v>
      </c>
      <c r="B32" s="7" t="s">
        <v>294</v>
      </c>
      <c r="C32" s="2">
        <v>36665</v>
      </c>
      <c r="D32" t="s">
        <v>232</v>
      </c>
      <c r="E32" s="8">
        <v>0.1076388888888889</v>
      </c>
      <c r="F32" t="s">
        <v>224</v>
      </c>
      <c r="G32" t="s">
        <v>225</v>
      </c>
      <c r="H32" t="s">
        <v>467</v>
      </c>
      <c r="I32" s="4">
        <v>465516248</v>
      </c>
      <c r="J32" s="5">
        <v>1795715</v>
      </c>
      <c r="K32" s="6">
        <f t="shared" si="2"/>
        <v>8.5470588235294116</v>
      </c>
    </row>
    <row r="33" spans="1:11" x14ac:dyDescent="0.25">
      <c r="A33" t="s">
        <v>295</v>
      </c>
      <c r="B33" s="7" t="s">
        <v>296</v>
      </c>
      <c r="C33" s="2">
        <v>39017</v>
      </c>
      <c r="D33" t="s">
        <v>229</v>
      </c>
      <c r="E33" s="8">
        <v>0.10486111111111111</v>
      </c>
      <c r="F33" t="s">
        <v>224</v>
      </c>
      <c r="G33" t="s">
        <v>225</v>
      </c>
      <c r="H33" t="s">
        <v>455</v>
      </c>
      <c r="I33" s="4">
        <v>292095942</v>
      </c>
      <c r="J33" s="5">
        <v>1513494</v>
      </c>
      <c r="K33" s="6">
        <f t="shared" si="2"/>
        <v>8.5352941176470587</v>
      </c>
    </row>
    <row r="34" spans="1:11" x14ac:dyDescent="0.25">
      <c r="A34" t="s">
        <v>297</v>
      </c>
      <c r="B34" s="7" t="s">
        <v>298</v>
      </c>
      <c r="C34" s="2">
        <v>39073</v>
      </c>
      <c r="D34" t="s">
        <v>223</v>
      </c>
      <c r="E34" s="8">
        <v>9.0277777777777776E-2</v>
      </c>
      <c r="F34" t="s">
        <v>224</v>
      </c>
      <c r="G34" t="s">
        <v>328</v>
      </c>
      <c r="H34" t="s">
        <v>446</v>
      </c>
      <c r="I34" s="4">
        <v>109676311</v>
      </c>
      <c r="J34" s="5">
        <v>1542287</v>
      </c>
      <c r="K34" s="6">
        <f t="shared" si="2"/>
        <v>8.5235294117647058</v>
      </c>
    </row>
    <row r="35" spans="1:11" x14ac:dyDescent="0.25">
      <c r="A35" t="s">
        <v>299</v>
      </c>
      <c r="B35" s="7" t="s">
        <v>300</v>
      </c>
      <c r="C35" s="2">
        <v>31338</v>
      </c>
      <c r="D35" t="s">
        <v>269</v>
      </c>
      <c r="E35" s="8">
        <v>8.0555555555555561E-2</v>
      </c>
      <c r="F35" t="s">
        <v>224</v>
      </c>
      <c r="G35" t="s">
        <v>361</v>
      </c>
      <c r="H35" t="s">
        <v>452</v>
      </c>
      <c r="I35" s="4">
        <v>392976852</v>
      </c>
      <c r="J35" s="5">
        <v>1403793</v>
      </c>
      <c r="K35" s="6">
        <f t="shared" si="2"/>
        <v>8.5117647058823529</v>
      </c>
    </row>
    <row r="36" spans="1:11" x14ac:dyDescent="0.25">
      <c r="A36" t="s">
        <v>301</v>
      </c>
      <c r="B36" s="7" t="s">
        <v>302</v>
      </c>
      <c r="C36" s="2">
        <v>36399</v>
      </c>
      <c r="D36" t="s">
        <v>223</v>
      </c>
      <c r="E36" s="8">
        <v>8.2638888888888887E-2</v>
      </c>
      <c r="F36" t="s">
        <v>224</v>
      </c>
      <c r="G36" t="s">
        <v>225</v>
      </c>
      <c r="H36" t="s">
        <v>303</v>
      </c>
      <c r="I36" s="4">
        <v>23875127</v>
      </c>
      <c r="J36" s="5">
        <v>1014218</v>
      </c>
      <c r="K36" s="6">
        <v>8.5</v>
      </c>
    </row>
    <row r="37" spans="1:11" x14ac:dyDescent="0.25">
      <c r="A37" t="s">
        <v>304</v>
      </c>
      <c r="B37" s="7" t="s">
        <v>509</v>
      </c>
      <c r="C37" s="2">
        <v>34796</v>
      </c>
      <c r="D37" t="s">
        <v>232</v>
      </c>
      <c r="E37" s="8">
        <v>7.6388888888888895E-2</v>
      </c>
      <c r="F37" t="s">
        <v>224</v>
      </c>
      <c r="G37" t="s">
        <v>225</v>
      </c>
      <c r="H37" t="s">
        <v>468</v>
      </c>
      <c r="I37" s="4">
        <v>20330788</v>
      </c>
      <c r="J37" s="5">
        <v>1320859</v>
      </c>
      <c r="K37" s="6">
        <f t="shared" ref="K37:K46" si="3">K36+($K$47-$K$36)/11</f>
        <v>8.4818181818181824</v>
      </c>
    </row>
    <row r="38" spans="1:11" x14ac:dyDescent="0.25">
      <c r="A38" t="s">
        <v>305</v>
      </c>
      <c r="B38" s="7" t="s">
        <v>306</v>
      </c>
      <c r="C38" s="2">
        <v>33591</v>
      </c>
      <c r="D38" t="s">
        <v>232</v>
      </c>
      <c r="E38" s="8">
        <v>0.10208333333333335</v>
      </c>
      <c r="F38" t="s">
        <v>224</v>
      </c>
      <c r="G38" t="s">
        <v>225</v>
      </c>
      <c r="H38" t="s">
        <v>469</v>
      </c>
      <c r="I38" s="4">
        <v>517778573</v>
      </c>
      <c r="J38" s="5">
        <v>1252054</v>
      </c>
      <c r="K38" s="6">
        <f t="shared" si="3"/>
        <v>8.4636363636363647</v>
      </c>
    </row>
    <row r="39" spans="1:11" x14ac:dyDescent="0.25">
      <c r="A39" t="s">
        <v>307</v>
      </c>
      <c r="B39" s="7" t="s">
        <v>308</v>
      </c>
      <c r="C39" s="2">
        <v>35033</v>
      </c>
      <c r="D39" t="s">
        <v>229</v>
      </c>
      <c r="E39" s="8">
        <v>7.3611111111111113E-2</v>
      </c>
      <c r="F39" t="s">
        <v>224</v>
      </c>
      <c r="G39" t="s">
        <v>225</v>
      </c>
      <c r="H39" t="s">
        <v>470</v>
      </c>
      <c r="I39" s="4">
        <v>23342724</v>
      </c>
      <c r="J39" s="5">
        <v>1207784</v>
      </c>
      <c r="K39" s="6">
        <f t="shared" si="3"/>
        <v>8.4454545454545471</v>
      </c>
    </row>
    <row r="40" spans="1:11" x14ac:dyDescent="0.25">
      <c r="A40" t="s">
        <v>309</v>
      </c>
      <c r="B40" s="7" t="s">
        <v>310</v>
      </c>
      <c r="C40" s="2">
        <v>34663</v>
      </c>
      <c r="D40" t="s">
        <v>284</v>
      </c>
      <c r="E40" s="8">
        <v>6.1111111111111116E-2</v>
      </c>
      <c r="F40" t="s">
        <v>224</v>
      </c>
      <c r="G40" t="s">
        <v>483</v>
      </c>
      <c r="H40" t="s">
        <v>471</v>
      </c>
      <c r="I40" s="4">
        <v>979163108</v>
      </c>
      <c r="J40" s="5">
        <v>1223945</v>
      </c>
      <c r="K40" s="6">
        <f t="shared" si="3"/>
        <v>8.4272727272727295</v>
      </c>
    </row>
    <row r="41" spans="1:11" x14ac:dyDescent="0.25">
      <c r="A41" t="s">
        <v>311</v>
      </c>
      <c r="B41" s="7" t="s">
        <v>312</v>
      </c>
      <c r="C41" s="2">
        <v>43741</v>
      </c>
      <c r="D41" t="s">
        <v>229</v>
      </c>
      <c r="E41" s="8">
        <v>8.4722222222222213E-2</v>
      </c>
      <c r="F41" t="s">
        <v>224</v>
      </c>
      <c r="G41" t="s">
        <v>225</v>
      </c>
      <c r="H41" t="s">
        <v>472</v>
      </c>
      <c r="I41" s="4">
        <v>1078958629</v>
      </c>
      <c r="J41" s="5">
        <v>1642689</v>
      </c>
      <c r="K41" s="6">
        <f t="shared" si="3"/>
        <v>8.4090909090909118</v>
      </c>
    </row>
    <row r="42" spans="1:11" x14ac:dyDescent="0.25">
      <c r="A42" t="s">
        <v>313</v>
      </c>
      <c r="B42" s="7" t="s">
        <v>314</v>
      </c>
      <c r="C42" s="2">
        <v>40963</v>
      </c>
      <c r="D42" t="s">
        <v>241</v>
      </c>
      <c r="E42" s="8">
        <v>7.7777777777777779E-2</v>
      </c>
      <c r="F42" t="s">
        <v>473</v>
      </c>
      <c r="G42" t="s">
        <v>225</v>
      </c>
      <c r="H42" t="s">
        <v>474</v>
      </c>
      <c r="I42" s="4">
        <v>426588510</v>
      </c>
      <c r="J42" s="5">
        <v>995399</v>
      </c>
      <c r="K42" s="6">
        <f t="shared" si="3"/>
        <v>8.3909090909090942</v>
      </c>
    </row>
    <row r="43" spans="1:11" x14ac:dyDescent="0.25">
      <c r="A43" t="s">
        <v>315</v>
      </c>
      <c r="B43" s="7" t="s">
        <v>316</v>
      </c>
      <c r="C43" s="2">
        <v>37554</v>
      </c>
      <c r="D43" t="s">
        <v>241</v>
      </c>
      <c r="E43" s="8">
        <v>0.10416666666666667</v>
      </c>
      <c r="F43" t="s">
        <v>475</v>
      </c>
      <c r="G43" t="s">
        <v>225</v>
      </c>
      <c r="H43" t="s">
        <v>476</v>
      </c>
      <c r="I43" s="4">
        <v>120098945</v>
      </c>
      <c r="J43" s="5">
        <v>984801</v>
      </c>
      <c r="K43" s="6">
        <f t="shared" si="3"/>
        <v>8.3727272727272766</v>
      </c>
    </row>
    <row r="44" spans="1:11" x14ac:dyDescent="0.25">
      <c r="A44" t="s">
        <v>317</v>
      </c>
      <c r="B44" s="7" t="s">
        <v>318</v>
      </c>
      <c r="C44" s="2">
        <v>42047</v>
      </c>
      <c r="D44" t="s">
        <v>223</v>
      </c>
      <c r="E44" s="8">
        <v>7.4305555555555555E-2</v>
      </c>
      <c r="F44" t="s">
        <v>224</v>
      </c>
      <c r="G44" t="s">
        <v>225</v>
      </c>
      <c r="H44" t="s">
        <v>477</v>
      </c>
      <c r="I44" s="4">
        <v>50431161</v>
      </c>
      <c r="J44" s="5">
        <v>1101708</v>
      </c>
      <c r="K44" s="6">
        <f t="shared" si="3"/>
        <v>8.3545454545454589</v>
      </c>
    </row>
    <row r="45" spans="1:11" x14ac:dyDescent="0.25">
      <c r="A45" t="s">
        <v>319</v>
      </c>
      <c r="B45" s="7" t="s">
        <v>320</v>
      </c>
      <c r="C45" s="2">
        <v>22217</v>
      </c>
      <c r="D45" t="s">
        <v>321</v>
      </c>
      <c r="E45" s="8">
        <v>7.5694444444444439E-2</v>
      </c>
      <c r="F45" t="s">
        <v>224</v>
      </c>
      <c r="G45" t="s">
        <v>225</v>
      </c>
      <c r="H45" t="s">
        <v>478</v>
      </c>
      <c r="I45" s="4">
        <v>32332374</v>
      </c>
      <c r="J45" s="5">
        <v>764032</v>
      </c>
      <c r="K45" s="6">
        <f t="shared" si="3"/>
        <v>8.3363636363636413</v>
      </c>
    </row>
    <row r="46" spans="1:11" x14ac:dyDescent="0.25">
      <c r="A46" t="s">
        <v>322</v>
      </c>
      <c r="B46" s="7" t="s">
        <v>323</v>
      </c>
      <c r="C46" s="2">
        <v>17127</v>
      </c>
      <c r="D46" t="s">
        <v>223</v>
      </c>
      <c r="E46" s="8">
        <v>7.0833333333333331E-2</v>
      </c>
      <c r="F46" t="s">
        <v>224</v>
      </c>
      <c r="G46" t="s">
        <v>361</v>
      </c>
      <c r="H46" t="s">
        <v>479</v>
      </c>
      <c r="I46" s="9">
        <v>4757681</v>
      </c>
      <c r="J46" s="5">
        <v>640576</v>
      </c>
      <c r="K46" s="6">
        <f t="shared" si="3"/>
        <v>8.3181818181818237</v>
      </c>
    </row>
    <row r="47" spans="1:11" x14ac:dyDescent="0.25">
      <c r="A47" t="s">
        <v>324</v>
      </c>
      <c r="B47" s="7" t="s">
        <v>325</v>
      </c>
      <c r="C47" s="2">
        <v>25193</v>
      </c>
      <c r="D47" t="s">
        <v>326</v>
      </c>
      <c r="E47" s="8">
        <v>0.12152777777777778</v>
      </c>
      <c r="F47" t="s">
        <v>327</v>
      </c>
      <c r="G47" t="s">
        <v>328</v>
      </c>
      <c r="H47" t="s">
        <v>329</v>
      </c>
      <c r="I47" s="4">
        <v>112911</v>
      </c>
      <c r="J47" s="5">
        <v>29522</v>
      </c>
      <c r="K47" s="6">
        <v>8.3000000000000007</v>
      </c>
    </row>
    <row r="48" spans="1:11" x14ac:dyDescent="0.25">
      <c r="A48" t="s">
        <v>330</v>
      </c>
      <c r="B48" s="7" t="s">
        <v>331</v>
      </c>
      <c r="C48" s="2">
        <v>42288</v>
      </c>
      <c r="D48" t="s">
        <v>284</v>
      </c>
      <c r="E48" s="8">
        <v>6.1805555555555558E-2</v>
      </c>
      <c r="F48" t="s">
        <v>460</v>
      </c>
      <c r="G48" t="s">
        <v>328</v>
      </c>
      <c r="H48" t="s">
        <v>480</v>
      </c>
      <c r="I48" s="4">
        <v>516962</v>
      </c>
      <c r="J48">
        <v>363022</v>
      </c>
      <c r="K48" s="6">
        <f>K47+($K$49-$K$47)/2</f>
        <v>8.3000000000000007</v>
      </c>
    </row>
    <row r="49" spans="1:12" x14ac:dyDescent="0.25">
      <c r="A49" t="s">
        <v>332</v>
      </c>
      <c r="B49" s="7" t="s">
        <v>333</v>
      </c>
      <c r="C49" s="2">
        <v>32464</v>
      </c>
      <c r="D49" t="s">
        <v>223</v>
      </c>
      <c r="E49" s="8">
        <v>0.1076388888888889</v>
      </c>
      <c r="F49" t="s">
        <v>327</v>
      </c>
      <c r="G49" t="s">
        <v>361</v>
      </c>
      <c r="H49" t="s">
        <v>334</v>
      </c>
      <c r="I49" s="4">
        <v>13826605</v>
      </c>
      <c r="J49" s="5">
        <v>22305</v>
      </c>
      <c r="K49" s="6">
        <v>8.3000000000000007</v>
      </c>
      <c r="L49" s="5"/>
    </row>
    <row r="50" spans="1:12" x14ac:dyDescent="0.25">
      <c r="A50" t="s">
        <v>335</v>
      </c>
      <c r="B50" s="7" t="s">
        <v>336</v>
      </c>
      <c r="C50" s="2">
        <v>13586</v>
      </c>
      <c r="D50" t="s">
        <v>286</v>
      </c>
      <c r="E50" s="8">
        <v>6.0416666666666667E-2</v>
      </c>
      <c r="F50" t="s">
        <v>224</v>
      </c>
      <c r="G50" t="s">
        <v>361</v>
      </c>
      <c r="H50" t="s">
        <v>481</v>
      </c>
      <c r="I50" s="10">
        <v>469661</v>
      </c>
      <c r="J50" s="5">
        <v>277203</v>
      </c>
      <c r="K50" s="6">
        <f t="shared" ref="K50:K61" si="4">K49+($K$62-$K$49)/13</f>
        <v>8.2846153846153854</v>
      </c>
    </row>
    <row r="51" spans="1:12" x14ac:dyDescent="0.25">
      <c r="A51" t="s">
        <v>337</v>
      </c>
      <c r="B51" s="7" t="s">
        <v>338</v>
      </c>
      <c r="C51" s="2">
        <v>41150</v>
      </c>
      <c r="D51" t="s">
        <v>232</v>
      </c>
      <c r="E51" s="8">
        <v>0.11388888888888889</v>
      </c>
      <c r="F51" t="s">
        <v>224</v>
      </c>
      <c r="G51" t="s">
        <v>328</v>
      </c>
      <c r="H51" t="s">
        <v>446</v>
      </c>
      <c r="I51" s="4">
        <v>1085429692</v>
      </c>
      <c r="J51" s="5">
        <v>1944032</v>
      </c>
      <c r="K51" s="6">
        <f t="shared" si="4"/>
        <v>8.2692307692307701</v>
      </c>
    </row>
    <row r="52" spans="1:12" x14ac:dyDescent="0.25">
      <c r="A52" t="s">
        <v>339</v>
      </c>
      <c r="B52" s="7" t="s">
        <v>340</v>
      </c>
      <c r="C52" s="2">
        <v>41291</v>
      </c>
      <c r="D52" t="s">
        <v>223</v>
      </c>
      <c r="E52" s="8">
        <v>0.11458333333333333</v>
      </c>
      <c r="F52" t="s">
        <v>224</v>
      </c>
      <c r="G52" t="s">
        <v>225</v>
      </c>
      <c r="H52" t="s">
        <v>448</v>
      </c>
      <c r="I52" s="4">
        <v>426079005</v>
      </c>
      <c r="J52" s="5">
        <v>1824985</v>
      </c>
      <c r="K52" s="6">
        <f t="shared" si="4"/>
        <v>8.2538461538461547</v>
      </c>
    </row>
    <row r="53" spans="1:12" x14ac:dyDescent="0.25">
      <c r="A53" t="s">
        <v>341</v>
      </c>
      <c r="B53" s="7" t="s">
        <v>342</v>
      </c>
      <c r="C53" s="2">
        <v>36910</v>
      </c>
      <c r="D53" t="s">
        <v>343</v>
      </c>
      <c r="E53" s="8">
        <v>7.8472222222222221E-2</v>
      </c>
      <c r="F53" t="s">
        <v>224</v>
      </c>
      <c r="G53" t="s">
        <v>225</v>
      </c>
      <c r="H53" t="s">
        <v>446</v>
      </c>
      <c r="I53" s="10">
        <v>43262033</v>
      </c>
      <c r="J53" s="5">
        <v>1400332</v>
      </c>
      <c r="K53" s="6">
        <f t="shared" si="4"/>
        <v>8.2384615384615394</v>
      </c>
    </row>
    <row r="54" spans="1:12" x14ac:dyDescent="0.25">
      <c r="A54" t="s">
        <v>344</v>
      </c>
      <c r="B54" s="7" t="s">
        <v>514</v>
      </c>
      <c r="C54" s="2">
        <v>39738</v>
      </c>
      <c r="D54" t="s">
        <v>284</v>
      </c>
      <c r="E54" s="8">
        <v>6.805555555555555E-2</v>
      </c>
      <c r="F54" t="s">
        <v>224</v>
      </c>
      <c r="G54" t="s">
        <v>483</v>
      </c>
      <c r="H54" t="s">
        <v>482</v>
      </c>
      <c r="I54" s="10">
        <v>527405094</v>
      </c>
      <c r="J54" s="5">
        <v>1282446</v>
      </c>
      <c r="K54" s="6">
        <f t="shared" si="4"/>
        <v>8.2230769230769241</v>
      </c>
    </row>
    <row r="55" spans="1:12" x14ac:dyDescent="0.25">
      <c r="A55" t="s">
        <v>345</v>
      </c>
      <c r="B55" s="7" t="s">
        <v>346</v>
      </c>
      <c r="C55" s="2">
        <v>29577</v>
      </c>
      <c r="D55" t="s">
        <v>223</v>
      </c>
      <c r="E55" s="8">
        <v>9.930555555555555E-2</v>
      </c>
      <c r="F55" t="s">
        <v>224</v>
      </c>
      <c r="G55" t="s">
        <v>225</v>
      </c>
      <c r="H55" t="s">
        <v>362</v>
      </c>
      <c r="I55" s="10">
        <v>50339292</v>
      </c>
      <c r="J55" s="5">
        <v>1186545</v>
      </c>
      <c r="K55" s="6">
        <f t="shared" si="4"/>
        <v>8.2076923076923087</v>
      </c>
    </row>
    <row r="56" spans="1:12" x14ac:dyDescent="0.25">
      <c r="A56" t="s">
        <v>347</v>
      </c>
      <c r="B56" s="7" t="s">
        <v>348</v>
      </c>
      <c r="C56" s="2">
        <v>29749</v>
      </c>
      <c r="D56" t="s">
        <v>232</v>
      </c>
      <c r="E56" s="8">
        <v>7.9861111111111105E-2</v>
      </c>
      <c r="F56" t="s">
        <v>224</v>
      </c>
      <c r="G56" t="s">
        <v>361</v>
      </c>
      <c r="H56" t="s">
        <v>450</v>
      </c>
      <c r="I56" s="10">
        <v>389925971</v>
      </c>
      <c r="J56" s="5">
        <v>1088235</v>
      </c>
      <c r="K56" s="6">
        <f t="shared" si="4"/>
        <v>8.1923076923076934</v>
      </c>
    </row>
    <row r="57" spans="1:12" x14ac:dyDescent="0.25">
      <c r="A57" t="s">
        <v>349</v>
      </c>
      <c r="B57" s="7" t="s">
        <v>350</v>
      </c>
      <c r="C57" s="2">
        <v>43215</v>
      </c>
      <c r="D57" t="s">
        <v>232</v>
      </c>
      <c r="E57" s="8">
        <v>0.10347222222222223</v>
      </c>
      <c r="F57" t="s">
        <v>224</v>
      </c>
      <c r="G57" t="s">
        <v>328</v>
      </c>
      <c r="H57" t="s">
        <v>484</v>
      </c>
      <c r="I57" s="4">
        <v>2052415039</v>
      </c>
      <c r="J57" s="5">
        <v>1321068</v>
      </c>
      <c r="K57" s="6">
        <f t="shared" si="4"/>
        <v>8.1769230769230781</v>
      </c>
    </row>
    <row r="58" spans="1:12" x14ac:dyDescent="0.25">
      <c r="A58" t="s">
        <v>351</v>
      </c>
      <c r="B58" s="7" t="s">
        <v>352</v>
      </c>
      <c r="C58" s="2">
        <v>29153</v>
      </c>
      <c r="D58" t="s">
        <v>321</v>
      </c>
      <c r="E58" s="8">
        <v>8.1250000000000003E-2</v>
      </c>
      <c r="F58" t="s">
        <v>224</v>
      </c>
      <c r="G58" t="s">
        <v>225</v>
      </c>
      <c r="H58" t="s">
        <v>467</v>
      </c>
      <c r="I58" s="10">
        <v>109726643</v>
      </c>
      <c r="J58" s="5">
        <v>1034952</v>
      </c>
      <c r="K58" s="6">
        <f t="shared" si="4"/>
        <v>8.1615384615384627</v>
      </c>
    </row>
    <row r="59" spans="1:12" x14ac:dyDescent="0.25">
      <c r="A59" t="s">
        <v>353</v>
      </c>
      <c r="B59" s="7" t="s">
        <v>354</v>
      </c>
      <c r="C59" s="2">
        <v>43579</v>
      </c>
      <c r="D59" t="s">
        <v>232</v>
      </c>
      <c r="E59" s="8">
        <v>0.12847222222222224</v>
      </c>
      <c r="F59" t="s">
        <v>224</v>
      </c>
      <c r="G59" t="s">
        <v>328</v>
      </c>
      <c r="H59" t="s">
        <v>513</v>
      </c>
      <c r="I59" s="4">
        <v>2942182144</v>
      </c>
      <c r="J59" s="5">
        <v>1390572</v>
      </c>
      <c r="K59" s="6">
        <f t="shared" si="4"/>
        <v>8.1461538461538474</v>
      </c>
    </row>
    <row r="60" spans="1:12" x14ac:dyDescent="0.25">
      <c r="A60" t="s">
        <v>355</v>
      </c>
      <c r="B60" s="7" t="s">
        <v>356</v>
      </c>
      <c r="C60" s="2">
        <v>29207</v>
      </c>
      <c r="D60" t="s">
        <v>223</v>
      </c>
      <c r="E60" s="8">
        <v>0.10625</v>
      </c>
      <c r="F60" t="s">
        <v>224</v>
      </c>
      <c r="G60" t="s">
        <v>225</v>
      </c>
      <c r="H60" t="s">
        <v>447</v>
      </c>
      <c r="I60" s="10">
        <v>105521176</v>
      </c>
      <c r="J60" s="5">
        <v>752410</v>
      </c>
      <c r="K60" s="6">
        <f t="shared" si="4"/>
        <v>8.1307692307692321</v>
      </c>
    </row>
    <row r="61" spans="1:12" x14ac:dyDescent="0.25">
      <c r="A61" t="s">
        <v>357</v>
      </c>
      <c r="B61" s="7" t="s">
        <v>358</v>
      </c>
      <c r="C61" s="2">
        <v>38478</v>
      </c>
      <c r="D61" t="s">
        <v>232</v>
      </c>
      <c r="E61" s="8">
        <v>8.3333333333333329E-2</v>
      </c>
      <c r="F61" t="s">
        <v>463</v>
      </c>
      <c r="G61" t="s">
        <v>225</v>
      </c>
      <c r="H61" t="s">
        <v>485</v>
      </c>
      <c r="I61" s="10">
        <v>17617220</v>
      </c>
      <c r="J61" s="5">
        <v>694384</v>
      </c>
      <c r="K61" s="6">
        <f t="shared" si="4"/>
        <v>8.1153846153846168</v>
      </c>
    </row>
    <row r="62" spans="1:12" x14ac:dyDescent="0.25">
      <c r="A62" t="s">
        <v>359</v>
      </c>
      <c r="B62" s="7" t="s">
        <v>360</v>
      </c>
      <c r="C62" s="2">
        <v>23470</v>
      </c>
      <c r="D62" t="s">
        <v>286</v>
      </c>
      <c r="E62" s="8">
        <v>6.5972222222222224E-2</v>
      </c>
      <c r="F62" t="s">
        <v>248</v>
      </c>
      <c r="G62" t="s">
        <v>361</v>
      </c>
      <c r="H62" t="s">
        <v>362</v>
      </c>
      <c r="I62" s="4">
        <v>9443876</v>
      </c>
      <c r="J62" s="5">
        <v>441115</v>
      </c>
      <c r="K62" s="6">
        <v>8.1</v>
      </c>
    </row>
    <row r="63" spans="1:12" x14ac:dyDescent="0.25">
      <c r="A63" t="s">
        <v>363</v>
      </c>
      <c r="B63" s="7" t="s">
        <v>364</v>
      </c>
      <c r="C63" s="2">
        <v>20193</v>
      </c>
      <c r="D63" t="s">
        <v>343</v>
      </c>
      <c r="E63" s="8">
        <v>7.7777777777777779E-2</v>
      </c>
      <c r="F63" t="s">
        <v>224</v>
      </c>
      <c r="G63" t="s">
        <v>361</v>
      </c>
      <c r="H63" t="s">
        <v>478</v>
      </c>
      <c r="I63" s="10">
        <v>37926612</v>
      </c>
      <c r="J63" s="5">
        <v>555140</v>
      </c>
      <c r="K63" s="6">
        <f t="shared" ref="K63:K72" si="5">K62+($K$73-$K$62)/11</f>
        <v>8.0909090909090899</v>
      </c>
    </row>
    <row r="64" spans="1:12" x14ac:dyDescent="0.25">
      <c r="A64" t="s">
        <v>365</v>
      </c>
      <c r="B64" s="7" t="s">
        <v>366</v>
      </c>
      <c r="C64" s="2">
        <v>43097</v>
      </c>
      <c r="D64" t="s">
        <v>284</v>
      </c>
      <c r="E64" s="8">
        <v>7.2916666666666671E-2</v>
      </c>
      <c r="F64" t="s">
        <v>224</v>
      </c>
      <c r="G64" t="s">
        <v>361</v>
      </c>
      <c r="H64" t="s">
        <v>486</v>
      </c>
      <c r="I64" s="10">
        <v>830570269</v>
      </c>
      <c r="J64" s="5">
        <v>669891</v>
      </c>
      <c r="K64" s="6">
        <f t="shared" si="5"/>
        <v>8.0818181818181802</v>
      </c>
    </row>
    <row r="65" spans="1:11" x14ac:dyDescent="0.25">
      <c r="A65" t="s">
        <v>367</v>
      </c>
      <c r="B65" s="7" t="s">
        <v>368</v>
      </c>
      <c r="C65" s="2">
        <v>39178</v>
      </c>
      <c r="D65" t="s">
        <v>223</v>
      </c>
      <c r="E65" s="8">
        <v>9.5138888888888884E-2</v>
      </c>
      <c r="F65" t="s">
        <v>487</v>
      </c>
      <c r="G65" t="s">
        <v>225</v>
      </c>
      <c r="H65" t="s">
        <v>488</v>
      </c>
      <c r="I65" s="10">
        <v>77672685</v>
      </c>
      <c r="J65" s="5">
        <v>432896</v>
      </c>
      <c r="K65" s="6">
        <f t="shared" si="5"/>
        <v>8.0727272727272705</v>
      </c>
    </row>
    <row r="66" spans="1:11" x14ac:dyDescent="0.25">
      <c r="A66" t="s">
        <v>369</v>
      </c>
      <c r="B66" s="7" t="s">
        <v>370</v>
      </c>
      <c r="C66" s="2">
        <v>43459</v>
      </c>
      <c r="D66" t="s">
        <v>284</v>
      </c>
      <c r="E66" s="8">
        <v>8.0555555555555561E-2</v>
      </c>
      <c r="F66" t="s">
        <v>224</v>
      </c>
      <c r="G66" t="s">
        <v>361</v>
      </c>
      <c r="H66" t="s">
        <v>489</v>
      </c>
      <c r="I66" s="10">
        <v>394884133</v>
      </c>
      <c r="J66" s="5">
        <v>753110</v>
      </c>
      <c r="K66" s="6">
        <f t="shared" si="5"/>
        <v>8.0636363636363608</v>
      </c>
    </row>
    <row r="67" spans="1:11" x14ac:dyDescent="0.25">
      <c r="A67" t="s">
        <v>371</v>
      </c>
      <c r="B67" s="7" t="s">
        <v>372</v>
      </c>
      <c r="C67" s="2">
        <v>40172</v>
      </c>
      <c r="D67" t="s">
        <v>286</v>
      </c>
      <c r="E67" s="8">
        <v>0.11805555555555557</v>
      </c>
      <c r="F67" t="s">
        <v>490</v>
      </c>
      <c r="G67" t="s">
        <v>328</v>
      </c>
      <c r="H67" t="s">
        <v>491</v>
      </c>
      <c r="I67" s="10">
        <v>60262836</v>
      </c>
      <c r="J67" s="5">
        <v>468151</v>
      </c>
      <c r="K67" s="6">
        <f t="shared" si="5"/>
        <v>8.0545454545454511</v>
      </c>
    </row>
    <row r="68" spans="1:11" x14ac:dyDescent="0.25">
      <c r="A68" t="s">
        <v>373</v>
      </c>
      <c r="B68" s="7" t="s">
        <v>374</v>
      </c>
      <c r="C68" s="2">
        <v>36665</v>
      </c>
      <c r="D68" t="s">
        <v>284</v>
      </c>
      <c r="E68" s="8">
        <v>9.2361111111111116E-2</v>
      </c>
      <c r="F68" t="s">
        <v>460</v>
      </c>
      <c r="G68" t="s">
        <v>328</v>
      </c>
      <c r="H68" t="s">
        <v>461</v>
      </c>
      <c r="I68" s="10">
        <v>35463432</v>
      </c>
      <c r="J68" s="5">
        <v>469375</v>
      </c>
      <c r="K68" s="6">
        <f t="shared" si="5"/>
        <v>8.0454545454545414</v>
      </c>
    </row>
    <row r="69" spans="1:11" x14ac:dyDescent="0.25">
      <c r="A69" t="s">
        <v>375</v>
      </c>
      <c r="B69" s="7" t="s">
        <v>376</v>
      </c>
      <c r="C69" s="2">
        <v>30953</v>
      </c>
      <c r="D69" t="s">
        <v>229</v>
      </c>
      <c r="E69" s="8">
        <v>0.15902777777777777</v>
      </c>
      <c r="F69" t="s">
        <v>224</v>
      </c>
      <c r="G69" t="s">
        <v>225</v>
      </c>
      <c r="H69" t="s">
        <v>329</v>
      </c>
      <c r="I69" s="10">
        <v>5480036</v>
      </c>
      <c r="J69" s="5">
        <v>400387</v>
      </c>
      <c r="K69" s="6">
        <f t="shared" si="5"/>
        <v>8.0363636363636317</v>
      </c>
    </row>
    <row r="70" spans="1:11" x14ac:dyDescent="0.25">
      <c r="A70" t="s">
        <v>377</v>
      </c>
      <c r="B70" s="7" t="s">
        <v>378</v>
      </c>
      <c r="C70" s="2">
        <v>16613</v>
      </c>
      <c r="D70" t="s">
        <v>286</v>
      </c>
      <c r="E70" s="8">
        <v>8.6805555555555566E-2</v>
      </c>
      <c r="F70" t="s">
        <v>224</v>
      </c>
      <c r="G70" t="s">
        <v>483</v>
      </c>
      <c r="H70" t="s">
        <v>481</v>
      </c>
      <c r="I70" s="10">
        <v>972212</v>
      </c>
      <c r="J70" s="5">
        <v>252007</v>
      </c>
      <c r="K70" s="6">
        <f t="shared" si="5"/>
        <v>8.027272727272722</v>
      </c>
    </row>
    <row r="71" spans="1:11" x14ac:dyDescent="0.25">
      <c r="A71" t="s">
        <v>379</v>
      </c>
      <c r="B71" s="7" t="s">
        <v>380</v>
      </c>
      <c r="C71" s="2">
        <v>18693</v>
      </c>
      <c r="D71" t="s">
        <v>223</v>
      </c>
      <c r="E71" s="8">
        <v>7.6388888888888895E-2</v>
      </c>
      <c r="F71" t="s">
        <v>224</v>
      </c>
      <c r="G71" s="2" t="s">
        <v>361</v>
      </c>
      <c r="H71" t="s">
        <v>492</v>
      </c>
      <c r="I71" s="10">
        <v>340105</v>
      </c>
      <c r="J71" s="5">
        <v>252878</v>
      </c>
      <c r="K71" s="6">
        <f t="shared" si="5"/>
        <v>8.0181818181818123</v>
      </c>
    </row>
    <row r="72" spans="1:11" x14ac:dyDescent="0.25">
      <c r="A72" t="s">
        <v>381</v>
      </c>
      <c r="B72" s="7" t="s">
        <v>382</v>
      </c>
      <c r="C72" s="2">
        <v>40088</v>
      </c>
      <c r="D72" t="s">
        <v>269</v>
      </c>
      <c r="E72" s="8">
        <v>0.10625</v>
      </c>
      <c r="F72" t="s">
        <v>487</v>
      </c>
      <c r="G72" t="s">
        <v>225</v>
      </c>
      <c r="H72" t="s">
        <v>448</v>
      </c>
      <c r="I72" s="10">
        <v>321461428</v>
      </c>
      <c r="J72" s="5">
        <v>1720454</v>
      </c>
      <c r="K72" s="6">
        <f t="shared" si="5"/>
        <v>8.0090909090909026</v>
      </c>
    </row>
    <row r="73" spans="1:11" x14ac:dyDescent="0.25">
      <c r="A73" t="s">
        <v>383</v>
      </c>
      <c r="B73" s="7" t="s">
        <v>384</v>
      </c>
      <c r="C73" s="2">
        <v>36546</v>
      </c>
      <c r="D73" t="s">
        <v>223</v>
      </c>
      <c r="E73" s="8">
        <v>8.4722222222222213E-2</v>
      </c>
      <c r="F73" t="s">
        <v>224</v>
      </c>
      <c r="G73" t="s">
        <v>225</v>
      </c>
      <c r="H73" t="s">
        <v>385</v>
      </c>
      <c r="I73" s="4">
        <v>356296601</v>
      </c>
      <c r="J73" s="5">
        <v>1049009</v>
      </c>
      <c r="K73" s="6">
        <v>8</v>
      </c>
    </row>
    <row r="74" spans="1:11" x14ac:dyDescent="0.25">
      <c r="A74" t="s">
        <v>386</v>
      </c>
      <c r="B74" s="7" t="s">
        <v>387</v>
      </c>
      <c r="C74" s="2">
        <v>35034</v>
      </c>
      <c r="D74" t="s">
        <v>241</v>
      </c>
      <c r="E74" s="8">
        <v>0.12361111111111112</v>
      </c>
      <c r="F74" t="s">
        <v>224</v>
      </c>
      <c r="G74" t="s">
        <v>225</v>
      </c>
      <c r="H74" t="s">
        <v>493</v>
      </c>
      <c r="I74" s="10">
        <v>213216216</v>
      </c>
      <c r="J74" s="5">
        <v>1141566</v>
      </c>
      <c r="K74" s="6">
        <f t="shared" ref="K74:K80" si="6">K73+($K$81-$K$73)/8</f>
        <v>7.9749999999999996</v>
      </c>
    </row>
    <row r="75" spans="1:11" x14ac:dyDescent="0.25">
      <c r="A75" t="s">
        <v>388</v>
      </c>
      <c r="B75" s="7" t="s">
        <v>389</v>
      </c>
      <c r="C75" s="2">
        <v>30610</v>
      </c>
      <c r="D75" t="s">
        <v>232</v>
      </c>
      <c r="E75" s="8">
        <v>9.3055555555555558E-2</v>
      </c>
      <c r="F75" t="s">
        <v>224</v>
      </c>
      <c r="G75" t="s">
        <v>361</v>
      </c>
      <c r="H75" t="s">
        <v>494</v>
      </c>
      <c r="I75" s="4">
        <v>482466382</v>
      </c>
      <c r="J75" s="5">
        <v>1182378</v>
      </c>
      <c r="K75" s="6">
        <f t="shared" si="6"/>
        <v>7.9499999999999993</v>
      </c>
    </row>
    <row r="76" spans="1:11" x14ac:dyDescent="0.25">
      <c r="A76" t="s">
        <v>390</v>
      </c>
      <c r="B76" s="7" t="s">
        <v>391</v>
      </c>
      <c r="C76" s="2">
        <v>33886</v>
      </c>
      <c r="D76" t="s">
        <v>229</v>
      </c>
      <c r="E76" s="8">
        <v>6.8749999999999992E-2</v>
      </c>
      <c r="F76" t="s">
        <v>224</v>
      </c>
      <c r="G76" t="s">
        <v>225</v>
      </c>
      <c r="H76" t="s">
        <v>448</v>
      </c>
      <c r="I76" s="10">
        <v>2942225</v>
      </c>
      <c r="J76" s="5">
        <v>1147256</v>
      </c>
      <c r="K76" s="6">
        <f t="shared" si="6"/>
        <v>7.9249999999999989</v>
      </c>
    </row>
    <row r="77" spans="1:11" x14ac:dyDescent="0.25">
      <c r="A77" t="s">
        <v>392</v>
      </c>
      <c r="B77" s="7" t="s">
        <v>393</v>
      </c>
      <c r="C77" s="2">
        <v>38282</v>
      </c>
      <c r="D77" t="s">
        <v>223</v>
      </c>
      <c r="E77" s="8">
        <v>7.4999999999999997E-2</v>
      </c>
      <c r="F77" t="s">
        <v>224</v>
      </c>
      <c r="G77" t="s">
        <v>225</v>
      </c>
      <c r="H77" t="s">
        <v>498</v>
      </c>
      <c r="I77" s="10">
        <v>72941954</v>
      </c>
      <c r="J77" s="5">
        <v>1154167</v>
      </c>
      <c r="K77" s="6">
        <f t="shared" si="6"/>
        <v>7.8999999999999986</v>
      </c>
    </row>
    <row r="78" spans="1:11" x14ac:dyDescent="0.25">
      <c r="A78" t="s">
        <v>394</v>
      </c>
      <c r="B78" s="7" t="s">
        <v>395</v>
      </c>
      <c r="C78" s="2">
        <v>35146</v>
      </c>
      <c r="D78" t="s">
        <v>284</v>
      </c>
      <c r="E78" s="8">
        <v>5.6250000000000001E-2</v>
      </c>
      <c r="F78" t="s">
        <v>224</v>
      </c>
      <c r="G78" t="s">
        <v>483</v>
      </c>
      <c r="H78" t="s">
        <v>495</v>
      </c>
      <c r="I78" s="10">
        <v>401157969</v>
      </c>
      <c r="J78" s="5">
        <v>1142115</v>
      </c>
      <c r="K78" s="6">
        <f t="shared" si="6"/>
        <v>7.8749999999999982</v>
      </c>
    </row>
    <row r="79" spans="1:11" x14ac:dyDescent="0.25">
      <c r="A79" t="s">
        <v>396</v>
      </c>
      <c r="B79" s="7" t="s">
        <v>397</v>
      </c>
      <c r="C79" s="2">
        <v>35860</v>
      </c>
      <c r="D79" t="s">
        <v>223</v>
      </c>
      <c r="E79" s="8">
        <v>8.7500000000000008E-2</v>
      </c>
      <c r="F79" t="s">
        <v>224</v>
      </c>
      <c r="G79" t="s">
        <v>225</v>
      </c>
      <c r="H79" t="s">
        <v>496</v>
      </c>
      <c r="I79" s="10">
        <v>225933435</v>
      </c>
      <c r="J79" s="5">
        <v>1164934</v>
      </c>
      <c r="K79" s="6">
        <f t="shared" si="6"/>
        <v>7.8499999999999979</v>
      </c>
    </row>
    <row r="80" spans="1:11" x14ac:dyDescent="0.25">
      <c r="A80" t="s">
        <v>398</v>
      </c>
      <c r="B80" s="7" t="s">
        <v>399</v>
      </c>
      <c r="C80" s="2">
        <v>36966</v>
      </c>
      <c r="D80" t="s">
        <v>286</v>
      </c>
      <c r="E80" s="8">
        <v>7.2222222222222229E-2</v>
      </c>
      <c r="F80" t="s">
        <v>248</v>
      </c>
      <c r="G80" t="s">
        <v>225</v>
      </c>
      <c r="H80" t="s">
        <v>497</v>
      </c>
      <c r="I80" s="10">
        <v>83558617</v>
      </c>
      <c r="J80" s="5">
        <v>957682</v>
      </c>
      <c r="K80" s="6">
        <f t="shared" si="6"/>
        <v>7.8249999999999975</v>
      </c>
    </row>
    <row r="81" spans="1:11" x14ac:dyDescent="0.25">
      <c r="A81" t="s">
        <v>400</v>
      </c>
      <c r="B81" s="7" t="s">
        <v>401</v>
      </c>
      <c r="C81" s="2">
        <v>36875</v>
      </c>
      <c r="D81" t="s">
        <v>223</v>
      </c>
      <c r="E81" s="8">
        <v>7.0833333333333331E-2</v>
      </c>
      <c r="F81" t="s">
        <v>224</v>
      </c>
      <c r="G81" t="s">
        <v>225</v>
      </c>
      <c r="H81" t="s">
        <v>402</v>
      </c>
      <c r="I81" s="4">
        <v>7390108</v>
      </c>
      <c r="J81" s="5">
        <v>748291</v>
      </c>
      <c r="K81" s="6">
        <v>7.8</v>
      </c>
    </row>
    <row r="82" spans="1:11" x14ac:dyDescent="0.25">
      <c r="A82" t="s">
        <v>403</v>
      </c>
      <c r="B82" s="7" t="s">
        <v>404</v>
      </c>
      <c r="C82" s="2">
        <v>26549</v>
      </c>
      <c r="D82" t="s">
        <v>229</v>
      </c>
      <c r="E82" s="8">
        <v>9.4444444444444442E-2</v>
      </c>
      <c r="F82" t="s">
        <v>248</v>
      </c>
      <c r="G82" t="s">
        <v>225</v>
      </c>
      <c r="H82" t="s">
        <v>362</v>
      </c>
      <c r="I82" s="10">
        <v>27195065</v>
      </c>
      <c r="J82" s="5">
        <v>921279</v>
      </c>
      <c r="K82" s="6">
        <f t="shared" ref="K82:K94" si="7">K81+($K$95-$K$81)/14</f>
        <v>7.7785714285714285</v>
      </c>
    </row>
    <row r="83" spans="1:11" x14ac:dyDescent="0.25">
      <c r="A83" t="s">
        <v>405</v>
      </c>
      <c r="B83" s="7" t="s">
        <v>406</v>
      </c>
      <c r="C83" s="2">
        <v>40366</v>
      </c>
      <c r="D83" t="s">
        <v>284</v>
      </c>
      <c r="E83" s="8">
        <v>7.1527777777777787E-2</v>
      </c>
      <c r="F83" t="s">
        <v>224</v>
      </c>
      <c r="G83" t="s">
        <v>483</v>
      </c>
      <c r="H83" t="s">
        <v>499</v>
      </c>
      <c r="I83" s="10">
        <v>1067316101</v>
      </c>
      <c r="J83" s="5">
        <v>946141</v>
      </c>
      <c r="K83" s="6">
        <f t="shared" si="7"/>
        <v>7.7571428571428571</v>
      </c>
    </row>
    <row r="84" spans="1:11" x14ac:dyDescent="0.25">
      <c r="A84" t="s">
        <v>407</v>
      </c>
      <c r="B84" s="7" t="s">
        <v>408</v>
      </c>
      <c r="C84" s="2">
        <v>30715</v>
      </c>
      <c r="D84" t="s">
        <v>229</v>
      </c>
      <c r="E84" s="8">
        <v>0.11805555555555557</v>
      </c>
      <c r="F84" t="s">
        <v>224</v>
      </c>
      <c r="G84" t="s">
        <v>225</v>
      </c>
      <c r="H84" t="s">
        <v>500</v>
      </c>
      <c r="I84" s="10">
        <v>66443303</v>
      </c>
      <c r="J84" s="5">
        <v>986226</v>
      </c>
      <c r="K84" s="6">
        <f t="shared" si="7"/>
        <v>7.7357142857142858</v>
      </c>
    </row>
    <row r="85" spans="1:11" x14ac:dyDescent="0.25">
      <c r="A85" t="s">
        <v>409</v>
      </c>
      <c r="B85" s="7" t="s">
        <v>410</v>
      </c>
      <c r="C85" s="2">
        <v>27799</v>
      </c>
      <c r="D85" t="s">
        <v>229</v>
      </c>
      <c r="E85" s="8">
        <v>7.9166666666666663E-2</v>
      </c>
      <c r="F85" t="s">
        <v>224</v>
      </c>
      <c r="G85" t="s">
        <v>225</v>
      </c>
      <c r="H85" t="s">
        <v>455</v>
      </c>
      <c r="I85" s="10">
        <v>29004075</v>
      </c>
      <c r="J85" s="5">
        <v>996998</v>
      </c>
      <c r="K85" s="6">
        <f t="shared" si="7"/>
        <v>7.7142857142857144</v>
      </c>
    </row>
    <row r="86" spans="1:11" x14ac:dyDescent="0.25">
      <c r="A86" t="s">
        <v>411</v>
      </c>
      <c r="B86" s="7" t="s">
        <v>510</v>
      </c>
      <c r="C86" s="2">
        <v>37281</v>
      </c>
      <c r="D86" t="s">
        <v>286</v>
      </c>
      <c r="E86" s="8">
        <v>8.4722222222222213E-2</v>
      </c>
      <c r="F86" t="s">
        <v>473</v>
      </c>
      <c r="G86" t="s">
        <v>225</v>
      </c>
      <c r="H86" t="s">
        <v>501</v>
      </c>
      <c r="I86" s="10">
        <v>175556451</v>
      </c>
      <c r="J86" s="5">
        <v>826377</v>
      </c>
      <c r="K86" s="6">
        <f t="shared" si="7"/>
        <v>7.6928571428571431</v>
      </c>
    </row>
    <row r="87" spans="1:11" x14ac:dyDescent="0.25">
      <c r="A87" t="s">
        <v>412</v>
      </c>
      <c r="B87" s="7" t="s">
        <v>413</v>
      </c>
      <c r="C87" s="2">
        <v>32059</v>
      </c>
      <c r="D87" t="s">
        <v>223</v>
      </c>
      <c r="E87" s="8">
        <v>8.0555555555555561E-2</v>
      </c>
      <c r="F87" t="s">
        <v>224</v>
      </c>
      <c r="G87" t="s">
        <v>225</v>
      </c>
      <c r="H87" t="s">
        <v>362</v>
      </c>
      <c r="I87" s="10">
        <v>50882366</v>
      </c>
      <c r="J87" s="5">
        <v>833530</v>
      </c>
      <c r="K87" s="6">
        <f t="shared" si="7"/>
        <v>7.6714285714285717</v>
      </c>
    </row>
    <row r="88" spans="1:11" x14ac:dyDescent="0.25">
      <c r="A88" t="s">
        <v>414</v>
      </c>
      <c r="B88" s="7" t="s">
        <v>415</v>
      </c>
      <c r="C88" s="2">
        <v>31679</v>
      </c>
      <c r="D88" t="s">
        <v>232</v>
      </c>
      <c r="E88" s="8">
        <v>0.10694444444444444</v>
      </c>
      <c r="F88" t="s">
        <v>224</v>
      </c>
      <c r="G88" t="s">
        <v>225</v>
      </c>
      <c r="H88" t="s">
        <v>469</v>
      </c>
      <c r="I88" s="10">
        <v>131060248</v>
      </c>
      <c r="J88" s="5">
        <v>821235</v>
      </c>
      <c r="K88" s="6">
        <f t="shared" si="7"/>
        <v>7.65</v>
      </c>
    </row>
    <row r="89" spans="1:11" x14ac:dyDescent="0.25">
      <c r="A89" t="s">
        <v>416</v>
      </c>
      <c r="B89" s="7" t="s">
        <v>417</v>
      </c>
      <c r="C89" s="2">
        <v>25184</v>
      </c>
      <c r="D89" t="s">
        <v>269</v>
      </c>
      <c r="E89" s="8">
        <v>0.10347222222222223</v>
      </c>
      <c r="F89" t="s">
        <v>224</v>
      </c>
      <c r="G89" t="s">
        <v>483</v>
      </c>
      <c r="H89" t="s">
        <v>362</v>
      </c>
      <c r="I89" s="10">
        <v>70172596</v>
      </c>
      <c r="J89" s="5">
        <v>764656</v>
      </c>
      <c r="K89" s="6">
        <f t="shared" si="7"/>
        <v>7.628571428571429</v>
      </c>
    </row>
    <row r="90" spans="1:11" x14ac:dyDescent="0.25">
      <c r="A90" t="s">
        <v>418</v>
      </c>
      <c r="B90" s="7" t="s">
        <v>419</v>
      </c>
      <c r="C90" s="2">
        <v>17862</v>
      </c>
      <c r="D90" t="s">
        <v>223</v>
      </c>
      <c r="E90" s="8">
        <v>8.2638888888888887E-2</v>
      </c>
      <c r="F90" t="s">
        <v>224</v>
      </c>
      <c r="G90" t="s">
        <v>361</v>
      </c>
      <c r="H90" t="s">
        <v>502</v>
      </c>
      <c r="I90" s="10">
        <v>1970128</v>
      </c>
      <c r="J90" s="5">
        <v>486530</v>
      </c>
      <c r="K90" s="6">
        <f t="shared" si="7"/>
        <v>7.6071428571428577</v>
      </c>
    </row>
    <row r="91" spans="1:11" x14ac:dyDescent="0.25">
      <c r="A91" t="s">
        <v>420</v>
      </c>
      <c r="B91" s="7">
        <v>1917</v>
      </c>
      <c r="C91" s="2">
        <v>43853</v>
      </c>
      <c r="D91" t="s">
        <v>223</v>
      </c>
      <c r="E91" s="8">
        <v>8.2638888888888887E-2</v>
      </c>
      <c r="F91" t="s">
        <v>248</v>
      </c>
      <c r="G91" t="s">
        <v>225</v>
      </c>
      <c r="H91" t="s">
        <v>385</v>
      </c>
      <c r="I91" s="10">
        <v>446058948</v>
      </c>
      <c r="J91" s="5">
        <v>744307</v>
      </c>
      <c r="K91" s="6">
        <f t="shared" si="7"/>
        <v>7.5857142857142863</v>
      </c>
    </row>
    <row r="92" spans="1:11" x14ac:dyDescent="0.25">
      <c r="A92" t="s">
        <v>421</v>
      </c>
      <c r="B92" s="7" t="s">
        <v>422</v>
      </c>
      <c r="C92" s="2">
        <v>31093</v>
      </c>
      <c r="D92" t="s">
        <v>241</v>
      </c>
      <c r="E92" s="8">
        <v>0.125</v>
      </c>
      <c r="F92" t="s">
        <v>224</v>
      </c>
      <c r="G92" t="s">
        <v>225</v>
      </c>
      <c r="H92" t="s">
        <v>266</v>
      </c>
      <c r="I92" s="10">
        <v>52271162</v>
      </c>
      <c r="J92" s="5">
        <v>455210</v>
      </c>
      <c r="K92" s="6">
        <f t="shared" si="7"/>
        <v>7.5642857142857149</v>
      </c>
    </row>
    <row r="93" spans="1:11" x14ac:dyDescent="0.25">
      <c r="A93" t="s">
        <v>423</v>
      </c>
      <c r="B93" s="7" t="s">
        <v>424</v>
      </c>
      <c r="C93" s="2">
        <v>21507</v>
      </c>
      <c r="D93" t="s">
        <v>343</v>
      </c>
      <c r="E93" s="8">
        <v>8.9583333333333334E-2</v>
      </c>
      <c r="F93" t="s">
        <v>224</v>
      </c>
      <c r="G93" t="s">
        <v>361</v>
      </c>
      <c r="H93" t="s">
        <v>478</v>
      </c>
      <c r="I93" s="10">
        <v>8102790</v>
      </c>
      <c r="J93" s="5">
        <v>450950</v>
      </c>
      <c r="K93" s="6">
        <f t="shared" si="7"/>
        <v>7.5428571428571436</v>
      </c>
    </row>
    <row r="94" spans="1:11" x14ac:dyDescent="0.25">
      <c r="A94" t="s">
        <v>425</v>
      </c>
      <c r="B94" s="7" t="s">
        <v>426</v>
      </c>
      <c r="C94" s="2">
        <v>21851</v>
      </c>
      <c r="D94" t="s">
        <v>269</v>
      </c>
      <c r="E94" s="8">
        <v>9.4444444444444442E-2</v>
      </c>
      <c r="F94" t="s">
        <v>224</v>
      </c>
      <c r="G94" t="s">
        <v>361</v>
      </c>
      <c r="H94" t="s">
        <v>478</v>
      </c>
      <c r="I94" s="10">
        <v>210327</v>
      </c>
      <c r="J94" s="5">
        <v>364139</v>
      </c>
      <c r="K94" s="6">
        <f t="shared" si="7"/>
        <v>7.5214285714285722</v>
      </c>
    </row>
    <row r="95" spans="1:11" x14ac:dyDescent="0.25">
      <c r="A95" t="s">
        <v>427</v>
      </c>
      <c r="B95" s="7" t="s">
        <v>428</v>
      </c>
      <c r="C95" s="2">
        <v>41235</v>
      </c>
      <c r="D95" t="s">
        <v>223</v>
      </c>
      <c r="E95" s="8">
        <v>7.9861111111111105E-2</v>
      </c>
      <c r="F95" t="s">
        <v>429</v>
      </c>
      <c r="G95" t="s">
        <v>225</v>
      </c>
      <c r="H95" t="s">
        <v>430</v>
      </c>
      <c r="I95" s="4">
        <v>15843274</v>
      </c>
      <c r="J95" s="5">
        <v>269616</v>
      </c>
      <c r="K95" s="6">
        <v>7.5</v>
      </c>
    </row>
    <row r="96" spans="1:11" x14ac:dyDescent="0.25">
      <c r="A96" t="s">
        <v>431</v>
      </c>
      <c r="B96" s="7" t="s">
        <v>432</v>
      </c>
      <c r="C96" s="2">
        <v>23313</v>
      </c>
      <c r="D96" t="s">
        <v>269</v>
      </c>
      <c r="E96" s="8">
        <v>0.15694444444444444</v>
      </c>
      <c r="F96" t="s">
        <v>248</v>
      </c>
      <c r="G96" t="s">
        <v>361</v>
      </c>
      <c r="H96" t="s">
        <v>503</v>
      </c>
      <c r="I96" s="10">
        <v>46401665</v>
      </c>
      <c r="J96" s="5">
        <v>333860</v>
      </c>
      <c r="K96" s="6">
        <f>K95+($K$99-$K$95)/4</f>
        <v>7.4749999999999996</v>
      </c>
    </row>
    <row r="97" spans="1:11" x14ac:dyDescent="0.25">
      <c r="A97" t="s">
        <v>433</v>
      </c>
      <c r="B97" s="7" t="s">
        <v>434</v>
      </c>
      <c r="C97" s="2">
        <v>27109</v>
      </c>
      <c r="D97" t="s">
        <v>286</v>
      </c>
      <c r="E97" s="8">
        <v>8.9583333333333334E-2</v>
      </c>
      <c r="F97" t="s">
        <v>224</v>
      </c>
      <c r="G97" t="s">
        <v>361</v>
      </c>
      <c r="H97" t="s">
        <v>504</v>
      </c>
      <c r="I97" s="10">
        <v>156005969</v>
      </c>
      <c r="J97" s="5">
        <v>294216</v>
      </c>
      <c r="K97" s="6">
        <f>K96+($K$99-$K$95)/4</f>
        <v>7.4499999999999993</v>
      </c>
    </row>
    <row r="98" spans="1:11" x14ac:dyDescent="0.25">
      <c r="A98" t="s">
        <v>435</v>
      </c>
      <c r="B98" s="7" t="s">
        <v>436</v>
      </c>
      <c r="C98" s="2">
        <v>30028</v>
      </c>
      <c r="D98" t="s">
        <v>269</v>
      </c>
      <c r="E98" s="8">
        <v>0.10347222222222223</v>
      </c>
      <c r="F98" t="s">
        <v>487</v>
      </c>
      <c r="G98" t="s">
        <v>225</v>
      </c>
      <c r="H98" t="s">
        <v>505</v>
      </c>
      <c r="I98" s="10">
        <v>11489279</v>
      </c>
      <c r="J98" s="5">
        <v>282445</v>
      </c>
      <c r="K98" s="6">
        <f>K97+($K$99-$K$95)/4</f>
        <v>7.4249999999999989</v>
      </c>
    </row>
    <row r="99" spans="1:11" x14ac:dyDescent="0.25">
      <c r="A99" t="s">
        <v>437</v>
      </c>
      <c r="B99" s="7" t="s">
        <v>511</v>
      </c>
      <c r="C99" s="2">
        <v>24096</v>
      </c>
      <c r="D99" t="s">
        <v>326</v>
      </c>
      <c r="E99" s="8">
        <v>9.1666666666666674E-2</v>
      </c>
      <c r="F99" t="s">
        <v>327</v>
      </c>
      <c r="G99" t="s">
        <v>225</v>
      </c>
      <c r="H99" t="s">
        <v>329</v>
      </c>
      <c r="I99" s="4">
        <v>15000000</v>
      </c>
      <c r="J99" s="5">
        <v>226039</v>
      </c>
      <c r="K99" s="6">
        <v>7.4</v>
      </c>
    </row>
    <row r="100" spans="1:11" x14ac:dyDescent="0.25">
      <c r="A100" t="s">
        <v>438</v>
      </c>
      <c r="B100" s="7" t="s">
        <v>439</v>
      </c>
      <c r="C100" s="2">
        <v>40837</v>
      </c>
      <c r="D100" t="s">
        <v>223</v>
      </c>
      <c r="E100" s="8">
        <v>8.5416666666666655E-2</v>
      </c>
      <c r="F100" t="s">
        <v>440</v>
      </c>
      <c r="G100" t="s">
        <v>328</v>
      </c>
      <c r="H100" t="s">
        <v>441</v>
      </c>
      <c r="I100" s="4">
        <v>22926076</v>
      </c>
      <c r="J100" s="5">
        <v>214165</v>
      </c>
      <c r="K100" s="6">
        <v>7.4</v>
      </c>
    </row>
    <row r="101" spans="1:11" x14ac:dyDescent="0.25">
      <c r="A101" t="s">
        <v>442</v>
      </c>
      <c r="B101" s="7" t="s">
        <v>443</v>
      </c>
      <c r="C101" s="2">
        <v>19395</v>
      </c>
      <c r="D101" t="s">
        <v>286</v>
      </c>
      <c r="E101" s="8">
        <v>7.1527777777777787E-2</v>
      </c>
      <c r="F101" t="s">
        <v>224</v>
      </c>
      <c r="G101" t="s">
        <v>483</v>
      </c>
      <c r="H101" t="s">
        <v>506</v>
      </c>
      <c r="I101" s="10">
        <v>2113091</v>
      </c>
      <c r="J101" s="5">
        <v>276364</v>
      </c>
      <c r="K101" s="6">
        <v>7.4</v>
      </c>
    </row>
    <row r="103" spans="1:11" x14ac:dyDescent="0.25">
      <c r="B103"/>
      <c r="C103"/>
      <c r="E103"/>
      <c r="I103"/>
      <c r="J103"/>
      <c r="K103"/>
    </row>
    <row r="104" spans="1:11" x14ac:dyDescent="0.25">
      <c r="B104"/>
      <c r="C104"/>
      <c r="E104"/>
      <c r="I104"/>
      <c r="J104"/>
      <c r="K104"/>
    </row>
    <row r="105" spans="1:11" x14ac:dyDescent="0.25">
      <c r="B105"/>
      <c r="C105"/>
      <c r="E105"/>
      <c r="I105"/>
      <c r="J105"/>
      <c r="K105"/>
    </row>
    <row r="106" spans="1:11" x14ac:dyDescent="0.25">
      <c r="B106"/>
      <c r="C106"/>
      <c r="E106"/>
      <c r="I106"/>
      <c r="J106"/>
      <c r="K106"/>
    </row>
    <row r="107" spans="1:11" x14ac:dyDescent="0.25">
      <c r="B107"/>
      <c r="C107"/>
      <c r="E107"/>
      <c r="I107"/>
      <c r="J107"/>
      <c r="K107"/>
    </row>
    <row r="108" spans="1:11" x14ac:dyDescent="0.25">
      <c r="B108"/>
      <c r="C108"/>
      <c r="E108"/>
      <c r="I108"/>
      <c r="J108"/>
      <c r="K10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G3" sqref="G3"/>
    </sheetView>
  </sheetViews>
  <sheetFormatPr defaultRowHeight="15" x14ac:dyDescent="0.25"/>
  <cols>
    <col min="1" max="1" width="5.140625" bestFit="1" customWidth="1"/>
    <col min="2" max="2" width="41.28515625" bestFit="1" customWidth="1"/>
    <col min="3" max="3" width="52.140625" bestFit="1" customWidth="1"/>
    <col min="4" max="4" width="24.140625" bestFit="1" customWidth="1"/>
    <col min="5" max="5" width="25.140625" bestFit="1" customWidth="1"/>
    <col min="6" max="6" width="25.7109375" bestFit="1" customWidth="1"/>
    <col min="7" max="7" width="98.140625" bestFit="1" customWidth="1"/>
  </cols>
  <sheetData>
    <row r="1" spans="1:7" x14ac:dyDescent="0.25">
      <c r="A1" t="s">
        <v>515</v>
      </c>
      <c r="B1" t="s">
        <v>516</v>
      </c>
      <c r="C1" t="s">
        <v>517</v>
      </c>
      <c r="D1" t="s">
        <v>518</v>
      </c>
      <c r="E1" t="s">
        <v>519</v>
      </c>
      <c r="F1" t="s">
        <v>520</v>
      </c>
      <c r="G1" t="s">
        <v>521</v>
      </c>
    </row>
    <row r="2" spans="1:7" x14ac:dyDescent="0.25">
      <c r="A2">
        <v>1</v>
      </c>
      <c r="B2" t="s">
        <v>526</v>
      </c>
      <c r="C2" t="s">
        <v>523</v>
      </c>
      <c r="D2" t="s">
        <v>527</v>
      </c>
      <c r="E2" t="s">
        <v>528</v>
      </c>
      <c r="F2" t="s">
        <v>529</v>
      </c>
      <c r="G2" t="s">
        <v>530</v>
      </c>
    </row>
    <row r="3" spans="1:7" x14ac:dyDescent="0.25">
      <c r="A3">
        <v>2</v>
      </c>
      <c r="B3" t="s">
        <v>522</v>
      </c>
      <c r="C3" t="s">
        <v>523</v>
      </c>
      <c r="D3" t="s">
        <v>524</v>
      </c>
      <c r="E3" t="s">
        <v>525</v>
      </c>
      <c r="F3" t="s">
        <v>525</v>
      </c>
      <c r="G3" t="s">
        <v>560</v>
      </c>
    </row>
    <row r="4" spans="1:7" x14ac:dyDescent="0.25">
      <c r="A4">
        <v>3</v>
      </c>
      <c r="B4" t="s">
        <v>531</v>
      </c>
      <c r="C4" t="s">
        <v>532</v>
      </c>
      <c r="D4" t="s">
        <v>540</v>
      </c>
      <c r="E4" t="s">
        <v>533</v>
      </c>
      <c r="F4" t="s">
        <v>534</v>
      </c>
      <c r="G4" t="s">
        <v>559</v>
      </c>
    </row>
    <row r="5" spans="1:7" x14ac:dyDescent="0.25">
      <c r="A5">
        <v>4</v>
      </c>
      <c r="B5" t="s">
        <v>538</v>
      </c>
      <c r="C5" t="s">
        <v>213</v>
      </c>
      <c r="D5" t="s">
        <v>527</v>
      </c>
      <c r="E5" t="s">
        <v>536</v>
      </c>
      <c r="F5" t="s">
        <v>535</v>
      </c>
      <c r="G5" t="s">
        <v>537</v>
      </c>
    </row>
    <row r="6" spans="1:7" x14ac:dyDescent="0.25">
      <c r="A6">
        <v>5</v>
      </c>
      <c r="B6" t="s">
        <v>539</v>
      </c>
      <c r="C6" t="s">
        <v>214</v>
      </c>
      <c r="D6" t="s">
        <v>540</v>
      </c>
      <c r="E6" t="s">
        <v>541</v>
      </c>
      <c r="F6" t="s">
        <v>542</v>
      </c>
      <c r="G6" t="s">
        <v>543</v>
      </c>
    </row>
    <row r="7" spans="1:7" x14ac:dyDescent="0.25">
      <c r="A7">
        <v>6</v>
      </c>
      <c r="B7" t="s">
        <v>544</v>
      </c>
      <c r="C7" t="s">
        <v>545</v>
      </c>
      <c r="D7" t="s">
        <v>540</v>
      </c>
      <c r="E7" t="s">
        <v>546</v>
      </c>
      <c r="F7" t="s">
        <v>547</v>
      </c>
      <c r="G7" t="s">
        <v>557</v>
      </c>
    </row>
    <row r="8" spans="1:7" x14ac:dyDescent="0.25">
      <c r="A8">
        <v>7</v>
      </c>
      <c r="B8" t="s">
        <v>548</v>
      </c>
      <c r="C8" t="s">
        <v>549</v>
      </c>
      <c r="D8" t="s">
        <v>550</v>
      </c>
      <c r="E8" t="s">
        <v>551</v>
      </c>
      <c r="F8" t="s">
        <v>552</v>
      </c>
      <c r="G8" t="s">
        <v>553</v>
      </c>
    </row>
    <row r="9" spans="1:7" x14ac:dyDescent="0.25">
      <c r="A9">
        <v>8</v>
      </c>
      <c r="B9" t="s">
        <v>554</v>
      </c>
      <c r="C9" t="s">
        <v>220</v>
      </c>
      <c r="D9" t="s">
        <v>555</v>
      </c>
      <c r="E9" t="s">
        <v>546</v>
      </c>
      <c r="F9" t="s">
        <v>558</v>
      </c>
      <c r="G9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Messy Data</vt:lpstr>
      <vt:lpstr>Cleaned Data</vt:lpstr>
      <vt:lpstr>Cleaning Steps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2026-10-26T21:03:47Z</dcterms:created>
  <dcterms:modified xsi:type="dcterms:W3CDTF">2026-10-30T21:40:33Z</dcterms:modified>
</cp:coreProperties>
</file>